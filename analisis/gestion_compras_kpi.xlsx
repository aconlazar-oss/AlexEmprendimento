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drawing3.xml" ContentType="application/vnd.openxmlformats-officedocument.drawing+xml"/>
  <Override PartName="/xl/drawings/vmlDrawing2.vml" ContentType="application/vnd.openxmlformats-officedocument.vmlDrawing"/>
  <Override PartName="/xl/drawings/drawing4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icio" sheetId="1" state="visible" r:id="rId3"/>
    <sheet name="Parametros" sheetId="2" state="visible" r:id="rId4"/>
    <sheet name="Requerimientos" sheetId="3" state="visible" r:id="rId5"/>
    <sheet name="Comparativo" sheetId="4" state="visible" r:id="rId6"/>
    <sheet name="Seguimiento_OC" sheetId="5" state="visible" r:id="rId7"/>
    <sheet name="Produccion" sheetId="6" state="visible" r:id="rId8"/>
    <sheet name="Consumos" sheetId="7" state="visible" r:id="rId9"/>
    <sheet name="Reportes" sheetId="8" state="visible" r:id="rId10"/>
    <sheet name="KPI" sheetId="9" state="visible" r:id="rId11"/>
  </sheets>
  <definedNames>
    <definedName function="false" hidden="true" localSheetId="3" name="_xlnm._FilterDatabase" vbProcedure="false">Comparativo!$A$4:$U$304</definedName>
    <definedName function="false" hidden="true" localSheetId="5" name="_xlnm._FilterDatabase" vbProcedure="false">Produccion!$A$4:$G$304</definedName>
    <definedName function="false" hidden="true" localSheetId="2" name="_xlnm._FilterDatabase" vbProcedure="false">Requerimientos!$A$4:$L$304</definedName>
    <definedName function="false" hidden="true" localSheetId="4" name="_xlnm._FilterDatabase" vbProcedure="false">Seguimiento_OC!$A$4:$AE$304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4" authorId="0">
      <text>
        <r>
          <rPr>
            <sz val="10"/>
            <rFont val="Arial"/>
            <family val="2"/>
          </rPr>
          <t xml:space="preserve">Último precio pagado o precio del año anterior: base para medir el ahorro por negociación.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W4" authorId="0">
      <text>
        <r>
          <rPr>
            <sz val="10"/>
            <rFont val="Arial"/>
            <family val="2"/>
          </rPr>
          <t xml:space="preserve">Importe de la factura del proveedor. Se compara contra el Monto OC (que debe coincidir con la cotización adjudicada).</t>
        </r>
      </text>
    </comment>
    <comment ref="Z4" authorId="0">
      <text>
        <r>
          <rPr>
            <sz val="10"/>
            <rFont val="Arial"/>
            <family val="2"/>
          </rPr>
          <t xml:space="preserve">Llenar cuando la entrega fue parcial o vencida y se acordó nueva fecha con el proveedor.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Arial"/>
            <family val="2"/>
          </rPr>
          <t xml:space="preserve">Metas referenciales sugeridas: ajústelas a las metas de su empresa.</t>
        </r>
      </text>
    </comment>
  </commentList>
</comments>
</file>

<file path=xl/sharedStrings.xml><?xml version="1.0" encoding="utf-8"?>
<sst xmlns="http://schemas.openxmlformats.org/spreadsheetml/2006/main" count="422" uniqueCount="260">
  <si>
    <t xml:space="preserve">Sistema de Gestión de Compras, Seguimiento y KPI</t>
  </si>
  <si>
    <t xml:space="preserve">Libro de control para el Analista de Compras: seguimiento documentario, reportabilidad, gestión de compras y KPI.</t>
  </si>
  <si>
    <t xml:space="preserve">CÓMO USAR</t>
  </si>
  <si>
    <t xml:space="preserve">Celdas amarillas / texto azul</t>
  </si>
  <si>
    <t xml:space="preserve">Datos que usted ingresa. Todo lo demás (texto negro) son fórmulas: no las sobrescriba.</t>
  </si>
  <si>
    <t xml:space="preserve">Fila de ejemplo</t>
  </si>
  <si>
    <t xml:space="preserve">Cada hoja de registro trae 1–3 filas de ejemplo con valores ficticios. Bórrelas o reemplácelas con sus datos reales.</t>
  </si>
  <si>
    <t xml:space="preserve">S / N / NA</t>
  </si>
  <si>
    <t xml:space="preserve">Los controles de sí/no usan listas desplegables: S = Sí, N = No, NA = No aplica.</t>
  </si>
  <si>
    <t xml:space="preserve">HOJA</t>
  </si>
  <si>
    <t xml:space="preserve">FUNCIÓN QUE CUBRE</t>
  </si>
  <si>
    <t xml:space="preserve">Parametros</t>
  </si>
  <si>
    <t xml:space="preserve">Año de análisis, centros, familias, proveedores, procedimientos y metas de KPI (editar primero).</t>
  </si>
  <si>
    <t xml:space="preserve">Requerimientos</t>
  </si>
  <si>
    <t xml:space="preserve">GESTIÓN DE COMPRAS: recepción y consolidado de requerimientos del mes, desagregado por familia y centro.</t>
  </si>
  <si>
    <t xml:space="preserve">Comparativo</t>
  </si>
  <si>
    <t xml:space="preserve">REPORTABILIDAD / GESTIÓN: cotizaciones de hasta 3 proveedores, cuadro comparativo, mejor precio y ahorro por negociación.</t>
  </si>
  <si>
    <t xml:space="preserve">Seguimiento_OC</t>
  </si>
  <si>
    <t xml:space="preserve">SEGUIMIENTO Y CONTROL DOCUMENTARIO: entrega en fecha, conformidad, registro sanitario, OC + guía + factura, envío a Chimbote según packing list, reprogramación, recepción por centro, importe facturado vs OC/cotización, registro en Kontrollers, crédito/contado, transporte.</t>
  </si>
  <si>
    <t xml:space="preserve">Produccion</t>
  </si>
  <si>
    <t xml:space="preserve">Análisis de producción: sesiones y costo por sesión por procedimiento, por mes.</t>
  </si>
  <si>
    <t xml:space="preserve">Consumos</t>
  </si>
  <si>
    <t xml:space="preserve">Análisis de consumos por centro por mes y consolidado anual.</t>
  </si>
  <si>
    <t xml:space="preserve">Reportes</t>
  </si>
  <si>
    <t xml:space="preserve">Resúmenes automáticos: compras por mes, crédito vs contado, por familia, ahorro, producción y consumo anual.</t>
  </si>
  <si>
    <t xml:space="preserve">KPI</t>
  </si>
  <si>
    <t xml:space="preserve">Tablero de KPI de Compras (automático), Almacén y Lavandería (ingreso mensual) con semáforo vs meta.</t>
  </si>
  <si>
    <t xml:space="preserve">Parámetros</t>
  </si>
  <si>
    <t xml:space="preserve">Edite las listas (amarillo). Alimentan las listas desplegables y los reportes.</t>
  </si>
  <si>
    <t xml:space="preserve">Año de análisis</t>
  </si>
  <si>
    <t xml:space="preserve">Año usado por Reportes, Consumos y KPI.</t>
  </si>
  <si>
    <t xml:space="preserve">Centros</t>
  </si>
  <si>
    <t xml:space="preserve">Familias</t>
  </si>
  <si>
    <t xml:space="preserve">Proveedores</t>
  </si>
  <si>
    <t xml:space="preserve">Procedimientos</t>
  </si>
  <si>
    <t xml:space="preserve">Condicion</t>
  </si>
  <si>
    <t xml:space="preserve">SN</t>
  </si>
  <si>
    <t xml:space="preserve">Meses</t>
  </si>
  <si>
    <t xml:space="preserve">Lima - Sede Central</t>
  </si>
  <si>
    <t xml:space="preserve">Material médico</t>
  </si>
  <si>
    <t xml:space="preserve">Proveedor A SAC</t>
  </si>
  <si>
    <t xml:space="preserve">Hemodiálisis</t>
  </si>
  <si>
    <t xml:space="preserve">Crédito</t>
  </si>
  <si>
    <t xml:space="preserve">S</t>
  </si>
  <si>
    <t xml:space="preserve">Ene</t>
  </si>
  <si>
    <t xml:space="preserve">Chimbote</t>
  </si>
  <si>
    <t xml:space="preserve">Medicamentos</t>
  </si>
  <si>
    <t xml:space="preserve">Proveedor B EIRL</t>
  </si>
  <si>
    <t xml:space="preserve">Procedimiento 2</t>
  </si>
  <si>
    <t xml:space="preserve">Contado</t>
  </si>
  <si>
    <t xml:space="preserve">N</t>
  </si>
  <si>
    <t xml:space="preserve">Feb</t>
  </si>
  <si>
    <t xml:space="preserve">Trujillo</t>
  </si>
  <si>
    <t xml:space="preserve">Insumos de laboratorio</t>
  </si>
  <si>
    <t xml:space="preserve">Proveedor C SA</t>
  </si>
  <si>
    <t xml:space="preserve">Procedimiento 3</t>
  </si>
  <si>
    <t xml:space="preserve">NA</t>
  </si>
  <si>
    <t xml:space="preserve">Mar</t>
  </si>
  <si>
    <t xml:space="preserve">Chiclayo</t>
  </si>
  <si>
    <t xml:space="preserve">Limpieza y desinfección</t>
  </si>
  <si>
    <t xml:space="preserve">Proveedor D SAC</t>
  </si>
  <si>
    <t xml:space="preserve">Abr</t>
  </si>
  <si>
    <t xml:space="preserve">Piura</t>
  </si>
  <si>
    <t xml:space="preserve">Ropa y lavandería</t>
  </si>
  <si>
    <t xml:space="preserve">May</t>
  </si>
  <si>
    <t xml:space="preserve">Oficina</t>
  </si>
  <si>
    <t xml:space="preserve">Jun</t>
  </si>
  <si>
    <t xml:space="preserve">Mantenimiento</t>
  </si>
  <si>
    <t xml:space="preserve">Jul</t>
  </si>
  <si>
    <t xml:space="preserve">Ago</t>
  </si>
  <si>
    <t xml:space="preserve">Set</t>
  </si>
  <si>
    <t xml:space="preserve">Oct</t>
  </si>
  <si>
    <t xml:space="preserve">Nov</t>
  </si>
  <si>
    <t xml:space="preserve">Dic</t>
  </si>
  <si>
    <t xml:space="preserve">Requerimientos del mes</t>
  </si>
  <si>
    <t xml:space="preserve">Consolidado de requerimientos recibidos de cada centro. Mes se calcula de la fecha de recepción.</t>
  </si>
  <si>
    <t xml:space="preserve">Fecha recepción</t>
  </si>
  <si>
    <t xml:space="preserve">Mes</t>
  </si>
  <si>
    <t xml:space="preserve">Centro solicitante</t>
  </si>
  <si>
    <t xml:space="preserve">Familia</t>
  </si>
  <si>
    <t xml:space="preserve">Código</t>
  </si>
  <si>
    <t xml:space="preserve">Descripción del ítem</t>
  </si>
  <si>
    <t xml:space="preserve">Unidad</t>
  </si>
  <si>
    <t xml:space="preserve">Cantidad requerida</t>
  </si>
  <si>
    <t xml:space="preserve">Fecha requerida</t>
  </si>
  <si>
    <t xml:space="preserve">N° OC asignada</t>
  </si>
  <si>
    <t xml:space="preserve">Estado</t>
  </si>
  <si>
    <t xml:space="preserve">Observaciones</t>
  </si>
  <si>
    <t xml:space="preserve">MM-001</t>
  </si>
  <si>
    <t xml:space="preserve">Guantes de nitrilo talla M (caja x100)</t>
  </si>
  <si>
    <t xml:space="preserve">CAJA</t>
  </si>
  <si>
    <t xml:space="preserve">OC-2026-0001</t>
  </si>
  <si>
    <t xml:space="preserve">LD-014</t>
  </si>
  <si>
    <t xml:space="preserve">Alcohol 70° x 1L</t>
  </si>
  <si>
    <t xml:space="preserve">UND</t>
  </si>
  <si>
    <t xml:space="preserve">ME-120</t>
  </si>
  <si>
    <t xml:space="preserve">Heparina sódica 5000 UI</t>
  </si>
  <si>
    <t xml:space="preserve">AMP</t>
  </si>
  <si>
    <t xml:space="preserve">OC-2026-0002</t>
  </si>
  <si>
    <t xml:space="preserve">Cotizaciones y cuadro comparativo</t>
  </si>
  <si>
    <t xml:space="preserve">Ingrese precio unitario (sin IGV) de cada proveedor cotizado. Precio referencia = último precio pagado / año anterior.</t>
  </si>
  <si>
    <t xml:space="preserve">N° solicitud</t>
  </si>
  <si>
    <t xml:space="preserve">Fecha</t>
  </si>
  <si>
    <t xml:space="preserve">Cantidad</t>
  </si>
  <si>
    <t xml:space="preserve">Proveedor 1</t>
  </si>
  <si>
    <t xml:space="preserve">Precio unit. P1 (S/)</t>
  </si>
  <si>
    <t xml:space="preserve">Proveedor 2</t>
  </si>
  <si>
    <t xml:space="preserve">Precio unit. P2 (S/)</t>
  </si>
  <si>
    <t xml:space="preserve">Proveedor 3</t>
  </si>
  <si>
    <t xml:space="preserve">Precio unit. P3 (S/)</t>
  </si>
  <si>
    <t xml:space="preserve">Mejor precio (S/)</t>
  </si>
  <si>
    <t xml:space="preserve">Mejor proveedor</t>
  </si>
  <si>
    <t xml:space="preserve">Total mejor oferta (S/)</t>
  </si>
  <si>
    <t xml:space="preserve">Precio referencia (S/)</t>
  </si>
  <si>
    <t xml:space="preserve">Precio negociado final (S/)</t>
  </si>
  <si>
    <t xml:space="preserve">Ahorro unitario (S/)</t>
  </si>
  <si>
    <t xml:space="preserve">Ahorro total (S/)</t>
  </si>
  <si>
    <t xml:space="preserve">% ahorro</t>
  </si>
  <si>
    <t xml:space="preserve">Proveedor adjudicado</t>
  </si>
  <si>
    <t xml:space="preserve">COT-001</t>
  </si>
  <si>
    <t xml:space="preserve">COT-002</t>
  </si>
  <si>
    <t xml:space="preserve">Seguimiento y control documentario de Órdenes de Compra</t>
  </si>
  <si>
    <t xml:space="preserve">Una fila por OC y centro de destino. Columnas Q–Y y AB–AD se calculan solas.</t>
  </si>
  <si>
    <t xml:space="preserve">N° OC</t>
  </si>
  <si>
    <t xml:space="preserve">Fecha emisión OC</t>
  </si>
  <si>
    <t xml:space="preserve">Proveedor</t>
  </si>
  <si>
    <t xml:space="preserve">Centro destino</t>
  </si>
  <si>
    <t xml:space="preserve">Condición pago</t>
  </si>
  <si>
    <t xml:space="preserve">Monto OC (S/)</t>
  </si>
  <si>
    <t xml:space="preserve">Fecha entrega programada</t>
  </si>
  <si>
    <t xml:space="preserve">Fecha entrega real</t>
  </si>
  <si>
    <t xml:space="preserve">Cantidad pedida</t>
  </si>
  <si>
    <t xml:space="preserve">Cantidad recibida</t>
  </si>
  <si>
    <t xml:space="preserve">Producto conforme al pedido (S/N)</t>
  </si>
  <si>
    <t xml:space="preserve">Registro sanitario vigente (S/N/NA)</t>
  </si>
  <si>
    <t xml:space="preserve">Entregó OC (S/N)</t>
  </si>
  <si>
    <t xml:space="preserve">Entregó guía (S/N)</t>
  </si>
  <si>
    <t xml:space="preserve">Entregó factura (S/N)</t>
  </si>
  <si>
    <t xml:space="preserve">Mes emisión</t>
  </si>
  <si>
    <t xml:space="preserve">% atención</t>
  </si>
  <si>
    <t xml:space="preserve">Días de retraso</t>
  </si>
  <si>
    <t xml:space="preserve">Entrega a tiempo</t>
  </si>
  <si>
    <t xml:space="preserve">Documentos completos</t>
  </si>
  <si>
    <t xml:space="preserve">Envío según packing list a Chimbote (S/N/NA)</t>
  </si>
  <si>
    <t xml:space="preserve">Monto factura (S/)</t>
  </si>
  <si>
    <t xml:space="preserve">Diferencia factura vs OC (S/)</t>
  </si>
  <si>
    <t xml:space="preserve">Nueva fecha reprogramada</t>
  </si>
  <si>
    <t xml:space="preserve">Transporte / agencia</t>
  </si>
  <si>
    <t xml:space="preserve">Control importe</t>
  </si>
  <si>
    <t xml:space="preserve">Registrado en Kontrollers (S/N)</t>
  </si>
  <si>
    <t xml:space="preserve">Acción requerida</t>
  </si>
  <si>
    <t xml:space="preserve">Transportes Ejemplo</t>
  </si>
  <si>
    <t xml:space="preserve">Propio</t>
  </si>
  <si>
    <t xml:space="preserve">Entrega parcial; falta factura</t>
  </si>
  <si>
    <t xml:space="preserve">OC-2026-0003</t>
  </si>
  <si>
    <t xml:space="preserve">Producción y costo por sesión</t>
  </si>
  <si>
    <t xml:space="preserve">Una fila por mes, centro y procedimiento. Costo de insumos = consumo valorizado del mes para ese procedimiento.</t>
  </si>
  <si>
    <t xml:space="preserve">Año</t>
  </si>
  <si>
    <t xml:space="preserve">Mes (1-12)</t>
  </si>
  <si>
    <t xml:space="preserve">Centro</t>
  </si>
  <si>
    <t xml:space="preserve">Procedimiento</t>
  </si>
  <si>
    <t xml:space="preserve">N° sesiones</t>
  </si>
  <si>
    <t xml:space="preserve">Costo insumos (S/)</t>
  </si>
  <si>
    <t xml:space="preserve">Costo por sesión (S/)</t>
  </si>
  <si>
    <t xml:space="preserve">Consumos por centro</t>
  </si>
  <si>
    <t xml:space="preserve">Registro de salidas de almacén valorizadas. La matriz de la derecha consolida por centro y mes del año de análisis.</t>
  </si>
  <si>
    <t xml:space="preserve">Fecha salida</t>
  </si>
  <si>
    <t xml:space="preserve">Descripción</t>
  </si>
  <si>
    <t xml:space="preserve">Costo unit. (S/)</t>
  </si>
  <si>
    <t xml:space="preserve">Importe (S/)</t>
  </si>
  <si>
    <t xml:space="preserve">Centro / Mes</t>
  </si>
  <si>
    <t xml:space="preserve">Total año</t>
  </si>
  <si>
    <t xml:space="preserve">Guantes de nitrilo talla M</t>
  </si>
  <si>
    <t xml:space="preserve">TOTAL</t>
  </si>
  <si>
    <t xml:space="preserve">Reportes de compras</t>
  </si>
  <si>
    <t xml:space="preserve">Todo es automático, calculado del año en Parametros!B4.</t>
  </si>
  <si>
    <t xml:space="preserve">Compras total (S/)</t>
  </si>
  <si>
    <t xml:space="preserve">Crédito (S/)</t>
  </si>
  <si>
    <t xml:space="preserve">Contado (S/)</t>
  </si>
  <si>
    <t xml:space="preserve">% Crédito</t>
  </si>
  <si>
    <t xml:space="preserve">% Contado</t>
  </si>
  <si>
    <t xml:space="preserve">Ahorro negociación (S/)</t>
  </si>
  <si>
    <t xml:space="preserve">Sesiones</t>
  </si>
  <si>
    <t xml:space="preserve">Costo prom. por sesión (S/)</t>
  </si>
  <si>
    <t xml:space="preserve">Consumo total (S/)</t>
  </si>
  <si>
    <t xml:space="preserve">Compras y ahorro por familia (año de análisis)</t>
  </si>
  <si>
    <t xml:space="preserve">Compras por centro de destino (año de análisis)</t>
  </si>
  <si>
    <t xml:space="preserve">Compras (S/)</t>
  </si>
  <si>
    <t xml:space="preserve">% del total</t>
  </si>
  <si>
    <t xml:space="preserve">Ahorro (S/)</t>
  </si>
  <si>
    <t xml:space="preserve">% ahorro s/ compra</t>
  </si>
  <si>
    <t xml:space="preserve">OC vencidas/parciales</t>
  </si>
  <si>
    <t xml:space="preserve">Tablero de KPI</t>
  </si>
  <si>
    <t xml:space="preserve">Compras: automático desde Seguimiento_OC y Comparativo (todas las OC registradas). Almacén y Lavandería: ingrese los datos del mes (amarillo).</t>
  </si>
  <si>
    <t xml:space="preserve">Área</t>
  </si>
  <si>
    <t xml:space="preserve">Indicador</t>
  </si>
  <si>
    <t xml:space="preserve">Fórmula de cálculo</t>
  </si>
  <si>
    <t xml:space="preserve">Resultado</t>
  </si>
  <si>
    <t xml:space="preserve">Meta</t>
  </si>
  <si>
    <t xml:space="preserve">Sentido</t>
  </si>
  <si>
    <t xml:space="preserve">Semáforo</t>
  </si>
  <si>
    <t xml:space="preserve">Compras</t>
  </si>
  <si>
    <t xml:space="preserve">% OC entregadas a tiempo</t>
  </si>
  <si>
    <t xml:space="preserve">OC con entrega a tiempo / OC entregadas</t>
  </si>
  <si>
    <t xml:space="preserve">&gt;=</t>
  </si>
  <si>
    <t xml:space="preserve">% atención completa de OC</t>
  </si>
  <si>
    <t xml:space="preserve">OC completas / OC registradas</t>
  </si>
  <si>
    <t xml:space="preserve">% productos conformes</t>
  </si>
  <si>
    <t xml:space="preserve">Recepciones conformes / recepciones evaluadas</t>
  </si>
  <si>
    <t xml:space="preserve">% recepciones con documentos completos (OC+guía+factura)</t>
  </si>
  <si>
    <t xml:space="preserve">Recepciones con 3 documentos / recepciones con entrega</t>
  </si>
  <si>
    <t xml:space="preserve">% facturas sin diferencia vs OC</t>
  </si>
  <si>
    <t xml:space="preserve">Facturas OK / facturas recibidas</t>
  </si>
  <si>
    <t xml:space="preserve">% OC registradas en Kontrollers</t>
  </si>
  <si>
    <t xml:space="preserve">OC registradas / OC registradas en el libro</t>
  </si>
  <si>
    <t xml:space="preserve">Tasa de ahorro por negociación</t>
  </si>
  <si>
    <t xml:space="preserve">Ahorro total / (precio referencia x cantidad)</t>
  </si>
  <si>
    <t xml:space="preserve">Días promedio de retraso</t>
  </si>
  <si>
    <t xml:space="preserve">Promedio de días de retraso de OC</t>
  </si>
  <si>
    <t xml:space="preserve">&lt;=</t>
  </si>
  <si>
    <t xml:space="preserve">OC que requieren acción</t>
  </si>
  <si>
    <t xml:space="preserve">OC con acción distinta de OK</t>
  </si>
  <si>
    <t xml:space="preserve">Datos del mes – Almacén y Lavandería (ingresar)</t>
  </si>
  <si>
    <t xml:space="preserve">Dato 1</t>
  </si>
  <si>
    <t xml:space="preserve">Valor</t>
  </si>
  <si>
    <t xml:space="preserve">Dato 2</t>
  </si>
  <si>
    <t xml:space="preserve">Almacén</t>
  </si>
  <si>
    <t xml:space="preserve">Exactitud de inventario</t>
  </si>
  <si>
    <t xml:space="preserve">Ítems contados</t>
  </si>
  <si>
    <t xml:space="preserve">Ítems sin diferencia</t>
  </si>
  <si>
    <t xml:space="preserve">Quiebres de stock</t>
  </si>
  <si>
    <t xml:space="preserve">Ítems solicitados</t>
  </si>
  <si>
    <t xml:space="preserve">Ítems con quiebre</t>
  </si>
  <si>
    <t xml:space="preserve">Rotación de inventario (veces/mes)</t>
  </si>
  <si>
    <t xml:space="preserve">Inventario promedio (S/)</t>
  </si>
  <si>
    <t xml:space="preserve">Consumo del mes (S/)</t>
  </si>
  <si>
    <t xml:space="preserve">% pedidos de centros despachados a tiempo</t>
  </si>
  <si>
    <t xml:space="preserve">Pedidos de centros</t>
  </si>
  <si>
    <t xml:space="preserve">Despachados en fecha</t>
  </si>
  <si>
    <t xml:space="preserve">Lavandería</t>
  </si>
  <si>
    <t xml:space="preserve">Costo por kg procesado (S/)</t>
  </si>
  <si>
    <t xml:space="preserve">Kg procesados</t>
  </si>
  <si>
    <t xml:space="preserve">Costo total (S/)</t>
  </si>
  <si>
    <t xml:space="preserve">Kg de ropa por sesión</t>
  </si>
  <si>
    <t xml:space="preserve">Sesiones del mes</t>
  </si>
  <si>
    <t xml:space="preserve">% reproceso</t>
  </si>
  <si>
    <t xml:space="preserve">Kg reprocesados</t>
  </si>
  <si>
    <t xml:space="preserve">% entregas de ropa a tiempo</t>
  </si>
  <si>
    <t xml:space="preserve">Entregas programadas</t>
  </si>
  <si>
    <t xml:space="preserve">Entregas en fecha</t>
  </si>
  <si>
    <t xml:space="preserve">KPI Almacén y Lavandería</t>
  </si>
  <si>
    <t xml:space="preserve">Ítems sin diferencia en inventario / ítems contados</t>
  </si>
  <si>
    <t xml:space="preserve">Ítems con stock cero solicitados / ítems solicitados</t>
  </si>
  <si>
    <t xml:space="preserve">Consumo valorizado del mes / inventario promedio valorizado</t>
  </si>
  <si>
    <t xml:space="preserve">Pedidos despachados en fecha / pedidos de centros</t>
  </si>
  <si>
    <t xml:space="preserve">Costo total lavandería / kg procesados</t>
  </si>
  <si>
    <t xml:space="preserve">Kg procesados / sesiones del mes</t>
  </si>
  <si>
    <t xml:space="preserve">Kg reprocesados / kg procesados</t>
  </si>
  <si>
    <t xml:space="preserve">Entregas en fecha / entregas programadas</t>
  </si>
  <si>
    <t xml:space="preserve">Las metas (columna E) son referenciales; ajústelas. Los datos de Almacén y Lavandería son de ejemplo.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</si>
</sst>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d/mm/yyyy"/>
    <numFmt numFmtId="166" formatCode="#,##0"/>
    <numFmt numFmtId="167" formatCode="&quot;S/ &quot;#,##0.00;&quot;(S/ &quot;#,##0.00\);\-"/>
    <numFmt numFmtId="168" formatCode="0.0%;\(0.0%\);\-"/>
    <numFmt numFmtId="169" formatCode="0"/>
    <numFmt numFmtId="170" formatCode="General"/>
    <numFmt numFmtId="171" formatCode="0.0"/>
    <numFmt numFmtId="172" formatCode="#,##0.00"/>
    <numFmt numFmtId="173" formatCode="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2"/>
      <color rgb="FF1F4E7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6EFCE"/>
      </patternFill>
    </fill>
    <fill>
      <patternFill patternType="solid">
        <fgColor rgb="FFFFF2CC"/>
        <bgColor rgb="FFFFEB9C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/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4" t="s">
        <v>2</v>
      </c>
      <c r="B4" s="5"/>
    </row>
    <row r="5" customFormat="false" ht="15" hidden="false" customHeight="false" outlineLevel="0" collapsed="false">
      <c r="A5" s="6" t="s">
        <v>3</v>
      </c>
      <c r="B5" s="7" t="s">
        <v>4</v>
      </c>
    </row>
    <row r="6" customFormat="false" ht="15" hidden="false" customHeight="false" outlineLevel="0" collapsed="false">
      <c r="A6" s="8" t="s">
        <v>5</v>
      </c>
      <c r="B6" s="7" t="s">
        <v>6</v>
      </c>
    </row>
    <row r="7" customFormat="false" ht="15" hidden="false" customHeight="false" outlineLevel="0" collapsed="false">
      <c r="A7" s="8" t="s">
        <v>7</v>
      </c>
      <c r="B7" s="7" t="s">
        <v>8</v>
      </c>
    </row>
    <row r="8" customFormat="false" ht="15" hidden="false" customHeight="false" outlineLevel="0" collapsed="false">
      <c r="A8" s="9"/>
      <c r="B8" s="7"/>
    </row>
    <row r="9" customFormat="false" ht="15" hidden="false" customHeight="false" outlineLevel="0" collapsed="false">
      <c r="A9" s="4" t="s">
        <v>9</v>
      </c>
      <c r="B9" s="5" t="s">
        <v>10</v>
      </c>
    </row>
    <row r="10" customFormat="false" ht="15" hidden="false" customHeight="false" outlineLevel="0" collapsed="false">
      <c r="A10" s="8" t="s">
        <v>11</v>
      </c>
      <c r="B10" s="7" t="s">
        <v>12</v>
      </c>
    </row>
    <row r="11" customFormat="false" ht="15" hidden="false" customHeight="false" outlineLevel="0" collapsed="false">
      <c r="A11" s="8" t="s">
        <v>13</v>
      </c>
      <c r="B11" s="7" t="s">
        <v>14</v>
      </c>
    </row>
    <row r="12" customFormat="false" ht="23.85" hidden="false" customHeight="false" outlineLevel="0" collapsed="false">
      <c r="A12" s="8" t="s">
        <v>15</v>
      </c>
      <c r="B12" s="7" t="s">
        <v>16</v>
      </c>
    </row>
    <row r="13" customFormat="false" ht="54.75" hidden="false" customHeight="true" outlineLevel="0" collapsed="false">
      <c r="A13" s="8" t="s">
        <v>17</v>
      </c>
      <c r="B13" s="7" t="s">
        <v>18</v>
      </c>
    </row>
    <row r="14" customFormat="false" ht="15" hidden="false" customHeight="false" outlineLevel="0" collapsed="false">
      <c r="A14" s="8" t="s">
        <v>19</v>
      </c>
      <c r="B14" s="7" t="s">
        <v>20</v>
      </c>
    </row>
    <row r="15" customFormat="false" ht="15" hidden="false" customHeight="false" outlineLevel="0" collapsed="false">
      <c r="A15" s="8" t="s">
        <v>21</v>
      </c>
      <c r="B15" s="7" t="s">
        <v>22</v>
      </c>
    </row>
    <row r="16" customFormat="false" ht="15" hidden="false" customHeight="false" outlineLevel="0" collapsed="false">
      <c r="A16" s="8" t="s">
        <v>23</v>
      </c>
      <c r="B16" s="7" t="s">
        <v>24</v>
      </c>
    </row>
    <row r="17" customFormat="false" ht="15" hidden="false" customHeight="false" outlineLevel="0" collapsed="false">
      <c r="A17" s="8" t="s">
        <v>25</v>
      </c>
      <c r="B17" s="7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6"/>
    <col collapsed="false" customWidth="true" hidden="false" outlineLevel="0" max="7" min="5" style="0" width="11"/>
  </cols>
  <sheetData>
    <row r="1" customFormat="false" ht="17.35" hidden="false" customHeight="false" outlineLevel="0" collapsed="false">
      <c r="A1" s="1" t="s">
        <v>27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28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10" t="s">
        <v>29</v>
      </c>
      <c r="B4" s="6" t="n">
        <v>2026</v>
      </c>
      <c r="C4" s="11" t="s">
        <v>30</v>
      </c>
      <c r="D4" s="2"/>
      <c r="E4" s="2"/>
      <c r="F4" s="2"/>
      <c r="G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</row>
    <row r="6" customFormat="false" ht="15" hidden="false" customHeight="false" outlineLevel="0" collapsed="false">
      <c r="A6" s="12" t="s">
        <v>31</v>
      </c>
      <c r="B6" s="12" t="s">
        <v>32</v>
      </c>
      <c r="C6" s="12" t="s">
        <v>33</v>
      </c>
      <c r="D6" s="12" t="s">
        <v>34</v>
      </c>
      <c r="E6" s="12" t="s">
        <v>35</v>
      </c>
      <c r="F6" s="12" t="s">
        <v>36</v>
      </c>
      <c r="G6" s="12" t="s">
        <v>37</v>
      </c>
    </row>
    <row r="7" customFormat="false" ht="15" hidden="false" customHeight="false" outlineLevel="0" collapsed="false">
      <c r="A7" s="13" t="s">
        <v>38</v>
      </c>
      <c r="B7" s="13" t="s">
        <v>39</v>
      </c>
      <c r="C7" s="13" t="s">
        <v>40</v>
      </c>
      <c r="D7" s="13" t="s">
        <v>41</v>
      </c>
      <c r="E7" s="14" t="s">
        <v>42</v>
      </c>
      <c r="F7" s="14" t="s">
        <v>43</v>
      </c>
      <c r="G7" s="14" t="s">
        <v>44</v>
      </c>
    </row>
    <row r="8" customFormat="false" ht="15" hidden="false" customHeight="false" outlineLevel="0" collapsed="false">
      <c r="A8" s="13" t="s">
        <v>45</v>
      </c>
      <c r="B8" s="13" t="s">
        <v>46</v>
      </c>
      <c r="C8" s="13" t="s">
        <v>47</v>
      </c>
      <c r="D8" s="13" t="s">
        <v>48</v>
      </c>
      <c r="E8" s="14" t="s">
        <v>49</v>
      </c>
      <c r="F8" s="14" t="s">
        <v>50</v>
      </c>
      <c r="G8" s="14" t="s">
        <v>51</v>
      </c>
    </row>
    <row r="9" customFormat="false" ht="15" hidden="false" customHeight="false" outlineLevel="0" collapsed="false">
      <c r="A9" s="13" t="s">
        <v>52</v>
      </c>
      <c r="B9" s="13" t="s">
        <v>53</v>
      </c>
      <c r="C9" s="13" t="s">
        <v>54</v>
      </c>
      <c r="D9" s="13" t="s">
        <v>55</v>
      </c>
      <c r="E9" s="2"/>
      <c r="F9" s="14" t="s">
        <v>56</v>
      </c>
      <c r="G9" s="14" t="s">
        <v>57</v>
      </c>
    </row>
    <row r="10" customFormat="false" ht="15" hidden="false" customHeight="false" outlineLevel="0" collapsed="false">
      <c r="A10" s="13" t="s">
        <v>58</v>
      </c>
      <c r="B10" s="13" t="s">
        <v>59</v>
      </c>
      <c r="C10" s="13" t="s">
        <v>60</v>
      </c>
      <c r="D10" s="13"/>
      <c r="E10" s="2"/>
      <c r="F10" s="2"/>
      <c r="G10" s="14" t="s">
        <v>61</v>
      </c>
    </row>
    <row r="11" customFormat="false" ht="15" hidden="false" customHeight="false" outlineLevel="0" collapsed="false">
      <c r="A11" s="13" t="s">
        <v>62</v>
      </c>
      <c r="B11" s="13" t="s">
        <v>63</v>
      </c>
      <c r="C11" s="13"/>
      <c r="D11" s="13"/>
      <c r="E11" s="2"/>
      <c r="F11" s="2"/>
      <c r="G11" s="14" t="s">
        <v>64</v>
      </c>
    </row>
    <row r="12" customFormat="false" ht="15" hidden="false" customHeight="false" outlineLevel="0" collapsed="false">
      <c r="A12" s="13"/>
      <c r="B12" s="13" t="s">
        <v>65</v>
      </c>
      <c r="C12" s="13"/>
      <c r="D12" s="13"/>
      <c r="E12" s="2"/>
      <c r="F12" s="2"/>
      <c r="G12" s="14" t="s">
        <v>66</v>
      </c>
    </row>
    <row r="13" customFormat="false" ht="15" hidden="false" customHeight="false" outlineLevel="0" collapsed="false">
      <c r="A13" s="13"/>
      <c r="B13" s="13" t="s">
        <v>67</v>
      </c>
      <c r="C13" s="13"/>
      <c r="D13" s="13"/>
      <c r="E13" s="2"/>
      <c r="F13" s="2"/>
      <c r="G13" s="14" t="s">
        <v>68</v>
      </c>
    </row>
    <row r="14" customFormat="false" ht="15" hidden="false" customHeight="false" outlineLevel="0" collapsed="false">
      <c r="A14" s="13"/>
      <c r="B14" s="13"/>
      <c r="C14" s="13"/>
      <c r="D14" s="13"/>
      <c r="E14" s="2"/>
      <c r="F14" s="2"/>
      <c r="G14" s="14" t="s">
        <v>69</v>
      </c>
    </row>
    <row r="15" customFormat="false" ht="15" hidden="false" customHeight="false" outlineLevel="0" collapsed="false">
      <c r="A15" s="13"/>
      <c r="B15" s="13"/>
      <c r="C15" s="13"/>
      <c r="D15" s="13"/>
      <c r="E15" s="2"/>
      <c r="F15" s="2"/>
      <c r="G15" s="14" t="s">
        <v>70</v>
      </c>
    </row>
    <row r="16" customFormat="false" ht="15" hidden="false" customHeight="false" outlineLevel="0" collapsed="false">
      <c r="A16" s="13"/>
      <c r="B16" s="13"/>
      <c r="C16" s="13"/>
      <c r="D16" s="13"/>
      <c r="E16" s="2"/>
      <c r="F16" s="2"/>
      <c r="G16" s="14" t="s">
        <v>71</v>
      </c>
    </row>
    <row r="17" customFormat="false" ht="15" hidden="false" customHeight="false" outlineLevel="0" collapsed="false">
      <c r="A17" s="13"/>
      <c r="B17" s="13"/>
      <c r="C17" s="13"/>
      <c r="D17" s="13"/>
      <c r="E17" s="2"/>
      <c r="F17" s="2"/>
      <c r="G17" s="14" t="s">
        <v>72</v>
      </c>
    </row>
    <row r="18" customFormat="false" ht="15" hidden="false" customHeight="false" outlineLevel="0" collapsed="false">
      <c r="A18" s="13"/>
      <c r="B18" s="13"/>
      <c r="C18" s="13"/>
      <c r="D18" s="13"/>
      <c r="E18" s="2"/>
      <c r="F18" s="2"/>
      <c r="G18" s="14" t="s">
        <v>73</v>
      </c>
    </row>
    <row r="19" customFormat="false" ht="15" hidden="false" customHeight="false" outlineLevel="0" collapsed="false">
      <c r="A19" s="13"/>
      <c r="B19" s="13"/>
      <c r="C19" s="13"/>
      <c r="D19" s="13"/>
      <c r="E19" s="2"/>
      <c r="F19" s="2"/>
      <c r="G19" s="2"/>
    </row>
    <row r="20" customFormat="false" ht="15" hidden="false" customHeight="false" outlineLevel="0" collapsed="false">
      <c r="A20" s="13"/>
      <c r="B20" s="13"/>
      <c r="C20" s="13"/>
      <c r="D20" s="13"/>
      <c r="E20" s="2"/>
      <c r="F20" s="2"/>
      <c r="G20" s="2"/>
    </row>
    <row r="21" customFormat="false" ht="15" hidden="false" customHeight="false" outlineLevel="0" collapsed="false">
      <c r="A21" s="13"/>
      <c r="B21" s="13"/>
      <c r="C21" s="13"/>
      <c r="D21" s="13"/>
      <c r="E21" s="2"/>
      <c r="F21" s="2"/>
      <c r="G21" s="2"/>
    </row>
    <row r="22" customFormat="false" ht="15" hidden="false" customHeight="false" outlineLevel="0" collapsed="false">
      <c r="A22" s="13"/>
      <c r="B22" s="13"/>
      <c r="C22" s="13"/>
      <c r="D22" s="13"/>
      <c r="E22" s="2"/>
      <c r="F22" s="2"/>
      <c r="G22" s="2"/>
    </row>
    <row r="23" customFormat="false" ht="15" hidden="false" customHeight="false" outlineLevel="0" collapsed="false">
      <c r="A23" s="13"/>
      <c r="B23" s="13"/>
      <c r="C23" s="13"/>
      <c r="D23" s="13"/>
      <c r="E23" s="2"/>
      <c r="F23" s="2"/>
      <c r="G23" s="2"/>
    </row>
    <row r="24" customFormat="false" ht="15" hidden="false" customHeight="false" outlineLevel="0" collapsed="false">
      <c r="A24" s="13"/>
      <c r="B24" s="13"/>
      <c r="C24" s="13"/>
      <c r="D24" s="13"/>
      <c r="E24" s="2"/>
      <c r="F24" s="2"/>
      <c r="G24" s="2"/>
    </row>
    <row r="25" customFormat="false" ht="15" hidden="false" customHeight="false" outlineLevel="0" collapsed="false">
      <c r="A25" s="13"/>
      <c r="B25" s="13"/>
      <c r="C25" s="13"/>
      <c r="D25" s="13"/>
      <c r="E25" s="2"/>
      <c r="F25" s="2"/>
      <c r="G25" s="2"/>
    </row>
    <row r="26" customFormat="false" ht="15" hidden="false" customHeight="false" outlineLevel="0" collapsed="false">
      <c r="A26" s="13"/>
      <c r="B26" s="13"/>
      <c r="C26" s="13"/>
      <c r="D26" s="13"/>
      <c r="E26" s="2"/>
      <c r="F26" s="2"/>
      <c r="G26" s="2"/>
    </row>
    <row r="27" customFormat="false" ht="15" hidden="false" customHeight="false" outlineLevel="0" collapsed="false">
      <c r="A27" s="13"/>
      <c r="B27" s="13"/>
      <c r="C27" s="13"/>
      <c r="D27" s="13"/>
      <c r="E27" s="2"/>
      <c r="F27" s="2"/>
      <c r="G27" s="2"/>
    </row>
    <row r="28" customFormat="false" ht="15" hidden="false" customHeight="false" outlineLevel="0" collapsed="false">
      <c r="A28" s="13"/>
      <c r="B28" s="13"/>
      <c r="C28" s="13"/>
      <c r="D28" s="13"/>
      <c r="E28" s="2"/>
      <c r="F28" s="2"/>
      <c r="G28" s="2"/>
    </row>
    <row r="29" customFormat="false" ht="15" hidden="false" customHeight="false" outlineLevel="0" collapsed="false">
      <c r="A29" s="13"/>
      <c r="B29" s="13"/>
      <c r="C29" s="13"/>
      <c r="D29" s="13"/>
      <c r="E29" s="2"/>
      <c r="F29" s="2"/>
      <c r="G29" s="2"/>
    </row>
    <row r="30" customFormat="false" ht="15" hidden="false" customHeight="false" outlineLevel="0" collapsed="false">
      <c r="A30" s="13"/>
      <c r="B30" s="13"/>
      <c r="C30" s="13"/>
      <c r="D30" s="13"/>
      <c r="E30" s="2"/>
      <c r="F30" s="2"/>
      <c r="G30" s="2"/>
    </row>
    <row r="31" customFormat="false" ht="15" hidden="false" customHeight="false" outlineLevel="0" collapsed="false">
      <c r="A31" s="13"/>
      <c r="B31" s="13"/>
      <c r="C31" s="13"/>
      <c r="D31" s="13"/>
      <c r="E31" s="2"/>
      <c r="F31" s="2"/>
      <c r="G31" s="2"/>
    </row>
    <row r="32" customFormat="false" ht="15" hidden="false" customHeight="false" outlineLevel="0" collapsed="false">
      <c r="A32" s="13"/>
      <c r="B32" s="13"/>
      <c r="C32" s="13"/>
      <c r="D32" s="13"/>
      <c r="E32" s="2"/>
      <c r="F32" s="2"/>
      <c r="G32" s="2"/>
    </row>
    <row r="33" customFormat="false" ht="15" hidden="false" customHeight="false" outlineLevel="0" collapsed="false">
      <c r="A33" s="13"/>
      <c r="B33" s="13"/>
      <c r="C33" s="13"/>
      <c r="D33" s="13"/>
      <c r="E33" s="2"/>
      <c r="F33" s="2"/>
      <c r="G33" s="2"/>
    </row>
    <row r="34" customFormat="false" ht="15" hidden="false" customHeight="false" outlineLevel="0" collapsed="false">
      <c r="A34" s="13"/>
      <c r="B34" s="13"/>
      <c r="C34" s="13"/>
      <c r="D34" s="13"/>
      <c r="E34" s="2"/>
      <c r="F34" s="2"/>
      <c r="G34" s="2"/>
    </row>
    <row r="35" customFormat="false" ht="15" hidden="false" customHeight="false" outlineLevel="0" collapsed="false">
      <c r="A35" s="13"/>
      <c r="B35" s="13"/>
      <c r="C35" s="13"/>
      <c r="D35" s="13"/>
      <c r="E35" s="2"/>
      <c r="F35" s="2"/>
      <c r="G35" s="2"/>
    </row>
    <row r="36" customFormat="false" ht="15" hidden="false" customHeight="false" outlineLevel="0" collapsed="false">
      <c r="A36" s="13"/>
      <c r="B36" s="13"/>
      <c r="C36" s="13"/>
      <c r="D36" s="13"/>
      <c r="E36" s="2"/>
      <c r="F36" s="2"/>
      <c r="G3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7"/>
    <col collapsed="false" customWidth="true" hidden="false" outlineLevel="0" max="4" min="3" style="0" width="22"/>
    <col collapsed="false" customWidth="true" hidden="false" outlineLevel="0" max="5" min="5" style="0" width="11"/>
    <col collapsed="false" customWidth="true" hidden="false" outlineLevel="0" max="6" min="6" style="0" width="34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11" min="9" style="0" width="13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75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42" hidden="false" customHeight="true" outlineLevel="0" collapsed="false">
      <c r="A4" s="15" t="s">
        <v>76</v>
      </c>
      <c r="B4" s="15" t="s">
        <v>77</v>
      </c>
      <c r="C4" s="15" t="s">
        <v>78</v>
      </c>
      <c r="D4" s="15" t="s">
        <v>79</v>
      </c>
      <c r="E4" s="15" t="s">
        <v>80</v>
      </c>
      <c r="F4" s="15" t="s">
        <v>81</v>
      </c>
      <c r="G4" s="15" t="s">
        <v>82</v>
      </c>
      <c r="H4" s="15" t="s">
        <v>83</v>
      </c>
      <c r="I4" s="15" t="s">
        <v>84</v>
      </c>
      <c r="J4" s="15" t="s">
        <v>85</v>
      </c>
      <c r="K4" s="15" t="s">
        <v>86</v>
      </c>
      <c r="L4" s="15" t="s">
        <v>87</v>
      </c>
    </row>
    <row r="5" customFormat="false" ht="15" hidden="false" customHeight="false" outlineLevel="0" collapsed="false">
      <c r="A5" s="16" t="n">
        <v>46296</v>
      </c>
      <c r="B5" s="14" t="n">
        <f aca="false">IF(A5="","",MONTH(A5))</f>
        <v>10</v>
      </c>
      <c r="C5" s="13" t="s">
        <v>45</v>
      </c>
      <c r="D5" s="13" t="s">
        <v>39</v>
      </c>
      <c r="E5" s="13" t="s">
        <v>88</v>
      </c>
      <c r="F5" s="13" t="s">
        <v>89</v>
      </c>
      <c r="G5" s="13" t="s">
        <v>90</v>
      </c>
      <c r="H5" s="17" t="n">
        <v>120</v>
      </c>
      <c r="I5" s="16" t="n">
        <v>46305</v>
      </c>
      <c r="J5" s="13" t="s">
        <v>91</v>
      </c>
      <c r="K5" s="14" t="str">
        <f aca="false">IF(F5="","",IF(J5="","Pendiente OC",IF(COUNTIF(Seguimiento_OC!$A:$A,J5)=0,"OC no registrada",INDEX(Seguimiento_OC!$Y:$Y,MATCH(J5,Seguimiento_OC!$A:$A,0)))))</f>
        <v>Completa</v>
      </c>
      <c r="L5" s="13"/>
    </row>
    <row r="6" customFormat="false" ht="15" hidden="false" customHeight="false" outlineLevel="0" collapsed="false">
      <c r="A6" s="16" t="n">
        <v>46296</v>
      </c>
      <c r="B6" s="14" t="n">
        <f aca="false">IF(A6="","",MONTH(A6))</f>
        <v>10</v>
      </c>
      <c r="C6" s="13" t="s">
        <v>52</v>
      </c>
      <c r="D6" s="13" t="s">
        <v>59</v>
      </c>
      <c r="E6" s="13" t="s">
        <v>92</v>
      </c>
      <c r="F6" s="13" t="s">
        <v>93</v>
      </c>
      <c r="G6" s="13" t="s">
        <v>94</v>
      </c>
      <c r="H6" s="17" t="n">
        <v>80</v>
      </c>
      <c r="I6" s="16" t="n">
        <v>46307</v>
      </c>
      <c r="J6" s="13"/>
      <c r="K6" s="14" t="str">
        <f aca="false">IF(F6="","",IF(J6="","Pendiente OC",IF(COUNTIF(Seguimiento_OC!$A:$A,J6)=0,"OC no registrada",INDEX(Seguimiento_OC!$Y:$Y,MATCH(J6,Seguimiento_OC!$A:$A,0)))))</f>
        <v>Pendiente OC</v>
      </c>
      <c r="L6" s="13"/>
    </row>
    <row r="7" customFormat="false" ht="15" hidden="false" customHeight="false" outlineLevel="0" collapsed="false">
      <c r="A7" s="16" t="n">
        <v>46297</v>
      </c>
      <c r="B7" s="14" t="n">
        <f aca="false">IF(A7="","",MONTH(A7))</f>
        <v>10</v>
      </c>
      <c r="C7" s="13" t="s">
        <v>38</v>
      </c>
      <c r="D7" s="13" t="s">
        <v>46</v>
      </c>
      <c r="E7" s="13" t="s">
        <v>95</v>
      </c>
      <c r="F7" s="13" t="s">
        <v>96</v>
      </c>
      <c r="G7" s="13" t="s">
        <v>97</v>
      </c>
      <c r="H7" s="17" t="n">
        <v>300</v>
      </c>
      <c r="I7" s="16" t="n">
        <v>46304</v>
      </c>
      <c r="J7" s="13" t="s">
        <v>98</v>
      </c>
      <c r="K7" s="14" t="str">
        <f aca="false">IF(F7="","",IF(J7="","Pendiente OC",IF(COUNTIF(Seguimiento_OC!$A:$A,J7)=0,"OC no registrada",INDEX(Seguimiento_OC!$Y:$Y,MATCH(J7,Seguimiento_OC!$A:$A,0)))))</f>
        <v>Parcial</v>
      </c>
      <c r="L7" s="13"/>
    </row>
    <row r="8" customFormat="false" ht="15" hidden="false" customHeight="false" outlineLevel="0" collapsed="false">
      <c r="A8" s="16"/>
      <c r="B8" s="14" t="str">
        <f aca="false">IF(A8="","",MONTH(A8))</f>
        <v/>
      </c>
      <c r="C8" s="13"/>
      <c r="D8" s="13"/>
      <c r="E8" s="13"/>
      <c r="F8" s="13"/>
      <c r="G8" s="13"/>
      <c r="H8" s="17"/>
      <c r="I8" s="16"/>
      <c r="J8" s="13"/>
      <c r="K8" s="14" t="str">
        <f aca="false">IF(F8="","",IF(J8="","Pendiente OC",IF(COUNTIF(Seguimiento_OC!$A:$A,J8)=0,"OC no registrada",INDEX(Seguimiento_OC!$Y:$Y,MATCH(J8,Seguimiento_OC!$A:$A,0)))))</f>
        <v/>
      </c>
      <c r="L8" s="13"/>
    </row>
    <row r="9" customFormat="false" ht="15" hidden="false" customHeight="false" outlineLevel="0" collapsed="false">
      <c r="A9" s="16"/>
      <c r="B9" s="14" t="str">
        <f aca="false">IF(A9="","",MONTH(A9))</f>
        <v/>
      </c>
      <c r="C9" s="13"/>
      <c r="D9" s="13"/>
      <c r="E9" s="13"/>
      <c r="F9" s="13"/>
      <c r="G9" s="13"/>
      <c r="H9" s="17"/>
      <c r="I9" s="16"/>
      <c r="J9" s="13"/>
      <c r="K9" s="14" t="str">
        <f aca="false">IF(F9="","",IF(J9="","Pendiente OC",IF(COUNTIF(Seguimiento_OC!$A:$A,J9)=0,"OC no registrada",INDEX(Seguimiento_OC!$Y:$Y,MATCH(J9,Seguimiento_OC!$A:$A,0)))))</f>
        <v/>
      </c>
      <c r="L9" s="13"/>
    </row>
    <row r="10" customFormat="false" ht="15" hidden="false" customHeight="false" outlineLevel="0" collapsed="false">
      <c r="A10" s="16"/>
      <c r="B10" s="14" t="str">
        <f aca="false">IF(A10="","",MONTH(A10))</f>
        <v/>
      </c>
      <c r="C10" s="13"/>
      <c r="D10" s="13"/>
      <c r="E10" s="13"/>
      <c r="F10" s="13"/>
      <c r="G10" s="13"/>
      <c r="H10" s="17"/>
      <c r="I10" s="16"/>
      <c r="J10" s="13"/>
      <c r="K10" s="14" t="str">
        <f aca="false">IF(F10="","",IF(J10="","Pendiente OC",IF(COUNTIF(Seguimiento_OC!$A:$A,J10)=0,"OC no registrada",INDEX(Seguimiento_OC!$Y:$Y,MATCH(J10,Seguimiento_OC!$A:$A,0)))))</f>
        <v/>
      </c>
      <c r="L10" s="13"/>
    </row>
    <row r="11" customFormat="false" ht="15" hidden="false" customHeight="false" outlineLevel="0" collapsed="false">
      <c r="A11" s="16"/>
      <c r="B11" s="14" t="str">
        <f aca="false">IF(A11="","",MONTH(A11))</f>
        <v/>
      </c>
      <c r="C11" s="13"/>
      <c r="D11" s="13"/>
      <c r="E11" s="13"/>
      <c r="F11" s="13"/>
      <c r="G11" s="13"/>
      <c r="H11" s="17"/>
      <c r="I11" s="16"/>
      <c r="J11" s="13"/>
      <c r="K11" s="14" t="str">
        <f aca="false">IF(F11="","",IF(J11="","Pendiente OC",IF(COUNTIF(Seguimiento_OC!$A:$A,J11)=0,"OC no registrada",INDEX(Seguimiento_OC!$Y:$Y,MATCH(J11,Seguimiento_OC!$A:$A,0)))))</f>
        <v/>
      </c>
      <c r="L11" s="13"/>
    </row>
    <row r="12" customFormat="false" ht="15" hidden="false" customHeight="false" outlineLevel="0" collapsed="false">
      <c r="A12" s="16"/>
      <c r="B12" s="14" t="str">
        <f aca="false">IF(A12="","",MONTH(A12))</f>
        <v/>
      </c>
      <c r="C12" s="13"/>
      <c r="D12" s="13"/>
      <c r="E12" s="13"/>
      <c r="F12" s="13"/>
      <c r="G12" s="13"/>
      <c r="H12" s="17"/>
      <c r="I12" s="16"/>
      <c r="J12" s="13"/>
      <c r="K12" s="14" t="str">
        <f aca="false">IF(F12="","",IF(J12="","Pendiente OC",IF(COUNTIF(Seguimiento_OC!$A:$A,J12)=0,"OC no registrada",INDEX(Seguimiento_OC!$Y:$Y,MATCH(J12,Seguimiento_OC!$A:$A,0)))))</f>
        <v/>
      </c>
      <c r="L12" s="13"/>
    </row>
    <row r="13" customFormat="false" ht="15" hidden="false" customHeight="false" outlineLevel="0" collapsed="false">
      <c r="A13" s="16"/>
      <c r="B13" s="14" t="str">
        <f aca="false">IF(A13="","",MONTH(A13))</f>
        <v/>
      </c>
      <c r="C13" s="13"/>
      <c r="D13" s="13"/>
      <c r="E13" s="13"/>
      <c r="F13" s="13"/>
      <c r="G13" s="13"/>
      <c r="H13" s="17"/>
      <c r="I13" s="16"/>
      <c r="J13" s="13"/>
      <c r="K13" s="14" t="str">
        <f aca="false">IF(F13="","",IF(J13="","Pendiente OC",IF(COUNTIF(Seguimiento_OC!$A:$A,J13)=0,"OC no registrada",INDEX(Seguimiento_OC!$Y:$Y,MATCH(J13,Seguimiento_OC!$A:$A,0)))))</f>
        <v/>
      </c>
      <c r="L13" s="13"/>
    </row>
    <row r="14" customFormat="false" ht="15" hidden="false" customHeight="false" outlineLevel="0" collapsed="false">
      <c r="A14" s="16"/>
      <c r="B14" s="14" t="str">
        <f aca="false">IF(A14="","",MONTH(A14))</f>
        <v/>
      </c>
      <c r="C14" s="13"/>
      <c r="D14" s="13"/>
      <c r="E14" s="13"/>
      <c r="F14" s="13"/>
      <c r="G14" s="13"/>
      <c r="H14" s="17"/>
      <c r="I14" s="16"/>
      <c r="J14" s="13"/>
      <c r="K14" s="14" t="str">
        <f aca="false">IF(F14="","",IF(J14="","Pendiente OC",IF(COUNTIF(Seguimiento_OC!$A:$A,J14)=0,"OC no registrada",INDEX(Seguimiento_OC!$Y:$Y,MATCH(J14,Seguimiento_OC!$A:$A,0)))))</f>
        <v/>
      </c>
      <c r="L14" s="13"/>
    </row>
    <row r="15" customFormat="false" ht="15" hidden="false" customHeight="false" outlineLevel="0" collapsed="false">
      <c r="A15" s="16"/>
      <c r="B15" s="14" t="str">
        <f aca="false">IF(A15="","",MONTH(A15))</f>
        <v/>
      </c>
      <c r="C15" s="13"/>
      <c r="D15" s="13"/>
      <c r="E15" s="13"/>
      <c r="F15" s="13"/>
      <c r="G15" s="13"/>
      <c r="H15" s="17"/>
      <c r="I15" s="16"/>
      <c r="J15" s="13"/>
      <c r="K15" s="14" t="str">
        <f aca="false">IF(F15="","",IF(J15="","Pendiente OC",IF(COUNTIF(Seguimiento_OC!$A:$A,J15)=0,"OC no registrada",INDEX(Seguimiento_OC!$Y:$Y,MATCH(J15,Seguimiento_OC!$A:$A,0)))))</f>
        <v/>
      </c>
      <c r="L15" s="13"/>
    </row>
    <row r="16" customFormat="false" ht="15" hidden="false" customHeight="false" outlineLevel="0" collapsed="false">
      <c r="A16" s="16"/>
      <c r="B16" s="14" t="str">
        <f aca="false">IF(A16="","",MONTH(A16))</f>
        <v/>
      </c>
      <c r="C16" s="13"/>
      <c r="D16" s="13"/>
      <c r="E16" s="13"/>
      <c r="F16" s="13"/>
      <c r="G16" s="13"/>
      <c r="H16" s="17"/>
      <c r="I16" s="16"/>
      <c r="J16" s="13"/>
      <c r="K16" s="14" t="str">
        <f aca="false">IF(F16="","",IF(J16="","Pendiente OC",IF(COUNTIF(Seguimiento_OC!$A:$A,J16)=0,"OC no registrada",INDEX(Seguimiento_OC!$Y:$Y,MATCH(J16,Seguimiento_OC!$A:$A,0)))))</f>
        <v/>
      </c>
      <c r="L16" s="13"/>
    </row>
    <row r="17" customFormat="false" ht="15" hidden="false" customHeight="false" outlineLevel="0" collapsed="false">
      <c r="A17" s="16"/>
      <c r="B17" s="14" t="str">
        <f aca="false">IF(A17="","",MONTH(A17))</f>
        <v/>
      </c>
      <c r="C17" s="13"/>
      <c r="D17" s="13"/>
      <c r="E17" s="13"/>
      <c r="F17" s="13"/>
      <c r="G17" s="13"/>
      <c r="H17" s="17"/>
      <c r="I17" s="16"/>
      <c r="J17" s="13"/>
      <c r="K17" s="14" t="str">
        <f aca="false">IF(F17="","",IF(J17="","Pendiente OC",IF(COUNTIF(Seguimiento_OC!$A:$A,J17)=0,"OC no registrada",INDEX(Seguimiento_OC!$Y:$Y,MATCH(J17,Seguimiento_OC!$A:$A,0)))))</f>
        <v/>
      </c>
      <c r="L17" s="13"/>
    </row>
    <row r="18" customFormat="false" ht="15" hidden="false" customHeight="false" outlineLevel="0" collapsed="false">
      <c r="A18" s="16"/>
      <c r="B18" s="14" t="str">
        <f aca="false">IF(A18="","",MONTH(A18))</f>
        <v/>
      </c>
      <c r="C18" s="13"/>
      <c r="D18" s="13"/>
      <c r="E18" s="13"/>
      <c r="F18" s="13"/>
      <c r="G18" s="13"/>
      <c r="H18" s="17"/>
      <c r="I18" s="16"/>
      <c r="J18" s="13"/>
      <c r="K18" s="14" t="str">
        <f aca="false">IF(F18="","",IF(J18="","Pendiente OC",IF(COUNTIF(Seguimiento_OC!$A:$A,J18)=0,"OC no registrada",INDEX(Seguimiento_OC!$Y:$Y,MATCH(J18,Seguimiento_OC!$A:$A,0)))))</f>
        <v/>
      </c>
      <c r="L18" s="13"/>
    </row>
    <row r="19" customFormat="false" ht="15" hidden="false" customHeight="false" outlineLevel="0" collapsed="false">
      <c r="A19" s="16"/>
      <c r="B19" s="14" t="str">
        <f aca="false">IF(A19="","",MONTH(A19))</f>
        <v/>
      </c>
      <c r="C19" s="13"/>
      <c r="D19" s="13"/>
      <c r="E19" s="13"/>
      <c r="F19" s="13"/>
      <c r="G19" s="13"/>
      <c r="H19" s="17"/>
      <c r="I19" s="16"/>
      <c r="J19" s="13"/>
      <c r="K19" s="14" t="str">
        <f aca="false">IF(F19="","",IF(J19="","Pendiente OC",IF(COUNTIF(Seguimiento_OC!$A:$A,J19)=0,"OC no registrada",INDEX(Seguimiento_OC!$Y:$Y,MATCH(J19,Seguimiento_OC!$A:$A,0)))))</f>
        <v/>
      </c>
      <c r="L19" s="13"/>
    </row>
    <row r="20" customFormat="false" ht="15" hidden="false" customHeight="false" outlineLevel="0" collapsed="false">
      <c r="A20" s="16"/>
      <c r="B20" s="14" t="str">
        <f aca="false">IF(A20="","",MONTH(A20))</f>
        <v/>
      </c>
      <c r="C20" s="13"/>
      <c r="D20" s="13"/>
      <c r="E20" s="13"/>
      <c r="F20" s="13"/>
      <c r="G20" s="13"/>
      <c r="H20" s="17"/>
      <c r="I20" s="16"/>
      <c r="J20" s="13"/>
      <c r="K20" s="14" t="str">
        <f aca="false">IF(F20="","",IF(J20="","Pendiente OC",IF(COUNTIF(Seguimiento_OC!$A:$A,J20)=0,"OC no registrada",INDEX(Seguimiento_OC!$Y:$Y,MATCH(J20,Seguimiento_OC!$A:$A,0)))))</f>
        <v/>
      </c>
      <c r="L20" s="13"/>
    </row>
    <row r="21" customFormat="false" ht="15" hidden="false" customHeight="false" outlineLevel="0" collapsed="false">
      <c r="A21" s="16"/>
      <c r="B21" s="14" t="str">
        <f aca="false">IF(A21="","",MONTH(A21))</f>
        <v/>
      </c>
      <c r="C21" s="13"/>
      <c r="D21" s="13"/>
      <c r="E21" s="13"/>
      <c r="F21" s="13"/>
      <c r="G21" s="13"/>
      <c r="H21" s="17"/>
      <c r="I21" s="16"/>
      <c r="J21" s="13"/>
      <c r="K21" s="14" t="str">
        <f aca="false">IF(F21="","",IF(J21="","Pendiente OC",IF(COUNTIF(Seguimiento_OC!$A:$A,J21)=0,"OC no registrada",INDEX(Seguimiento_OC!$Y:$Y,MATCH(J21,Seguimiento_OC!$A:$A,0)))))</f>
        <v/>
      </c>
      <c r="L21" s="13"/>
    </row>
    <row r="22" customFormat="false" ht="15" hidden="false" customHeight="false" outlineLevel="0" collapsed="false">
      <c r="A22" s="16"/>
      <c r="B22" s="14" t="str">
        <f aca="false">IF(A22="","",MONTH(A22))</f>
        <v/>
      </c>
      <c r="C22" s="13"/>
      <c r="D22" s="13"/>
      <c r="E22" s="13"/>
      <c r="F22" s="13"/>
      <c r="G22" s="13"/>
      <c r="H22" s="17"/>
      <c r="I22" s="16"/>
      <c r="J22" s="13"/>
      <c r="K22" s="14" t="str">
        <f aca="false">IF(F22="","",IF(J22="","Pendiente OC",IF(COUNTIF(Seguimiento_OC!$A:$A,J22)=0,"OC no registrada",INDEX(Seguimiento_OC!$Y:$Y,MATCH(J22,Seguimiento_OC!$A:$A,0)))))</f>
        <v/>
      </c>
      <c r="L22" s="13"/>
    </row>
    <row r="23" customFormat="false" ht="15" hidden="false" customHeight="false" outlineLevel="0" collapsed="false">
      <c r="A23" s="16"/>
      <c r="B23" s="14" t="str">
        <f aca="false">IF(A23="","",MONTH(A23))</f>
        <v/>
      </c>
      <c r="C23" s="13"/>
      <c r="D23" s="13"/>
      <c r="E23" s="13"/>
      <c r="F23" s="13"/>
      <c r="G23" s="13"/>
      <c r="H23" s="17"/>
      <c r="I23" s="16"/>
      <c r="J23" s="13"/>
      <c r="K23" s="14" t="str">
        <f aca="false">IF(F23="","",IF(J23="","Pendiente OC",IF(COUNTIF(Seguimiento_OC!$A:$A,J23)=0,"OC no registrada",INDEX(Seguimiento_OC!$Y:$Y,MATCH(J23,Seguimiento_OC!$A:$A,0)))))</f>
        <v/>
      </c>
      <c r="L23" s="13"/>
    </row>
    <row r="24" customFormat="false" ht="15" hidden="false" customHeight="false" outlineLevel="0" collapsed="false">
      <c r="A24" s="16"/>
      <c r="B24" s="14" t="str">
        <f aca="false">IF(A24="","",MONTH(A24))</f>
        <v/>
      </c>
      <c r="C24" s="13"/>
      <c r="D24" s="13"/>
      <c r="E24" s="13"/>
      <c r="F24" s="13"/>
      <c r="G24" s="13"/>
      <c r="H24" s="17"/>
      <c r="I24" s="16"/>
      <c r="J24" s="13"/>
      <c r="K24" s="14" t="str">
        <f aca="false">IF(F24="","",IF(J24="","Pendiente OC",IF(COUNTIF(Seguimiento_OC!$A:$A,J24)=0,"OC no registrada",INDEX(Seguimiento_OC!$Y:$Y,MATCH(J24,Seguimiento_OC!$A:$A,0)))))</f>
        <v/>
      </c>
      <c r="L24" s="13"/>
    </row>
    <row r="25" customFormat="false" ht="15" hidden="false" customHeight="false" outlineLevel="0" collapsed="false">
      <c r="A25" s="16"/>
      <c r="B25" s="14" t="str">
        <f aca="false">IF(A25="","",MONTH(A25))</f>
        <v/>
      </c>
      <c r="C25" s="13"/>
      <c r="D25" s="13"/>
      <c r="E25" s="13"/>
      <c r="F25" s="13"/>
      <c r="G25" s="13"/>
      <c r="H25" s="17"/>
      <c r="I25" s="16"/>
      <c r="J25" s="13"/>
      <c r="K25" s="14" t="str">
        <f aca="false">IF(F25="","",IF(J25="","Pendiente OC",IF(COUNTIF(Seguimiento_OC!$A:$A,J25)=0,"OC no registrada",INDEX(Seguimiento_OC!$Y:$Y,MATCH(J25,Seguimiento_OC!$A:$A,0)))))</f>
        <v/>
      </c>
      <c r="L25" s="13"/>
    </row>
    <row r="26" customFormat="false" ht="15" hidden="false" customHeight="false" outlineLevel="0" collapsed="false">
      <c r="A26" s="16"/>
      <c r="B26" s="14" t="str">
        <f aca="false">IF(A26="","",MONTH(A26))</f>
        <v/>
      </c>
      <c r="C26" s="13"/>
      <c r="D26" s="13"/>
      <c r="E26" s="13"/>
      <c r="F26" s="13"/>
      <c r="G26" s="13"/>
      <c r="H26" s="17"/>
      <c r="I26" s="16"/>
      <c r="J26" s="13"/>
      <c r="K26" s="14" t="str">
        <f aca="false">IF(F26="","",IF(J26="","Pendiente OC",IF(COUNTIF(Seguimiento_OC!$A:$A,J26)=0,"OC no registrada",INDEX(Seguimiento_OC!$Y:$Y,MATCH(J26,Seguimiento_OC!$A:$A,0)))))</f>
        <v/>
      </c>
      <c r="L26" s="13"/>
    </row>
    <row r="27" customFormat="false" ht="15" hidden="false" customHeight="false" outlineLevel="0" collapsed="false">
      <c r="A27" s="16"/>
      <c r="B27" s="14" t="str">
        <f aca="false">IF(A27="","",MONTH(A27))</f>
        <v/>
      </c>
      <c r="C27" s="13"/>
      <c r="D27" s="13"/>
      <c r="E27" s="13"/>
      <c r="F27" s="13"/>
      <c r="G27" s="13"/>
      <c r="H27" s="17"/>
      <c r="I27" s="16"/>
      <c r="J27" s="13"/>
      <c r="K27" s="14" t="str">
        <f aca="false">IF(F27="","",IF(J27="","Pendiente OC",IF(COUNTIF(Seguimiento_OC!$A:$A,J27)=0,"OC no registrada",INDEX(Seguimiento_OC!$Y:$Y,MATCH(J27,Seguimiento_OC!$A:$A,0)))))</f>
        <v/>
      </c>
      <c r="L27" s="13"/>
    </row>
    <row r="28" customFormat="false" ht="15" hidden="false" customHeight="false" outlineLevel="0" collapsed="false">
      <c r="A28" s="16"/>
      <c r="B28" s="14" t="str">
        <f aca="false">IF(A28="","",MONTH(A28))</f>
        <v/>
      </c>
      <c r="C28" s="13"/>
      <c r="D28" s="13"/>
      <c r="E28" s="13"/>
      <c r="F28" s="13"/>
      <c r="G28" s="13"/>
      <c r="H28" s="17"/>
      <c r="I28" s="16"/>
      <c r="J28" s="13"/>
      <c r="K28" s="14" t="str">
        <f aca="false">IF(F28="","",IF(J28="","Pendiente OC",IF(COUNTIF(Seguimiento_OC!$A:$A,J28)=0,"OC no registrada",INDEX(Seguimiento_OC!$Y:$Y,MATCH(J28,Seguimiento_OC!$A:$A,0)))))</f>
        <v/>
      </c>
      <c r="L28" s="13"/>
    </row>
    <row r="29" customFormat="false" ht="15" hidden="false" customHeight="false" outlineLevel="0" collapsed="false">
      <c r="A29" s="16"/>
      <c r="B29" s="14" t="str">
        <f aca="false">IF(A29="","",MONTH(A29))</f>
        <v/>
      </c>
      <c r="C29" s="13"/>
      <c r="D29" s="13"/>
      <c r="E29" s="13"/>
      <c r="F29" s="13"/>
      <c r="G29" s="13"/>
      <c r="H29" s="17"/>
      <c r="I29" s="16"/>
      <c r="J29" s="13"/>
      <c r="K29" s="14" t="str">
        <f aca="false">IF(F29="","",IF(J29="","Pendiente OC",IF(COUNTIF(Seguimiento_OC!$A:$A,J29)=0,"OC no registrada",INDEX(Seguimiento_OC!$Y:$Y,MATCH(J29,Seguimiento_OC!$A:$A,0)))))</f>
        <v/>
      </c>
      <c r="L29" s="13"/>
    </row>
    <row r="30" customFormat="false" ht="15" hidden="false" customHeight="false" outlineLevel="0" collapsed="false">
      <c r="A30" s="16"/>
      <c r="B30" s="14" t="str">
        <f aca="false">IF(A30="","",MONTH(A30))</f>
        <v/>
      </c>
      <c r="C30" s="13"/>
      <c r="D30" s="13"/>
      <c r="E30" s="13"/>
      <c r="F30" s="13"/>
      <c r="G30" s="13"/>
      <c r="H30" s="17"/>
      <c r="I30" s="16"/>
      <c r="J30" s="13"/>
      <c r="K30" s="14" t="str">
        <f aca="false">IF(F30="","",IF(J30="","Pendiente OC",IF(COUNTIF(Seguimiento_OC!$A:$A,J30)=0,"OC no registrada",INDEX(Seguimiento_OC!$Y:$Y,MATCH(J30,Seguimiento_OC!$A:$A,0)))))</f>
        <v/>
      </c>
      <c r="L30" s="13"/>
    </row>
    <row r="31" customFormat="false" ht="15" hidden="false" customHeight="false" outlineLevel="0" collapsed="false">
      <c r="A31" s="16"/>
      <c r="B31" s="14" t="str">
        <f aca="false">IF(A31="","",MONTH(A31))</f>
        <v/>
      </c>
      <c r="C31" s="13"/>
      <c r="D31" s="13"/>
      <c r="E31" s="13"/>
      <c r="F31" s="13"/>
      <c r="G31" s="13"/>
      <c r="H31" s="17"/>
      <c r="I31" s="16"/>
      <c r="J31" s="13"/>
      <c r="K31" s="14" t="str">
        <f aca="false">IF(F31="","",IF(J31="","Pendiente OC",IF(COUNTIF(Seguimiento_OC!$A:$A,J31)=0,"OC no registrada",INDEX(Seguimiento_OC!$Y:$Y,MATCH(J31,Seguimiento_OC!$A:$A,0)))))</f>
        <v/>
      </c>
      <c r="L31" s="13"/>
    </row>
    <row r="32" customFormat="false" ht="15" hidden="false" customHeight="false" outlineLevel="0" collapsed="false">
      <c r="A32" s="16"/>
      <c r="B32" s="14" t="str">
        <f aca="false">IF(A32="","",MONTH(A32))</f>
        <v/>
      </c>
      <c r="C32" s="13"/>
      <c r="D32" s="13"/>
      <c r="E32" s="13"/>
      <c r="F32" s="13"/>
      <c r="G32" s="13"/>
      <c r="H32" s="17"/>
      <c r="I32" s="16"/>
      <c r="J32" s="13"/>
      <c r="K32" s="14" t="str">
        <f aca="false">IF(F32="","",IF(J32="","Pendiente OC",IF(COUNTIF(Seguimiento_OC!$A:$A,J32)=0,"OC no registrada",INDEX(Seguimiento_OC!$Y:$Y,MATCH(J32,Seguimiento_OC!$A:$A,0)))))</f>
        <v/>
      </c>
      <c r="L32" s="13"/>
    </row>
    <row r="33" customFormat="false" ht="15" hidden="false" customHeight="false" outlineLevel="0" collapsed="false">
      <c r="A33" s="16"/>
      <c r="B33" s="14" t="str">
        <f aca="false">IF(A33="","",MONTH(A33))</f>
        <v/>
      </c>
      <c r="C33" s="13"/>
      <c r="D33" s="13"/>
      <c r="E33" s="13"/>
      <c r="F33" s="13"/>
      <c r="G33" s="13"/>
      <c r="H33" s="17"/>
      <c r="I33" s="16"/>
      <c r="J33" s="13"/>
      <c r="K33" s="14" t="str">
        <f aca="false">IF(F33="","",IF(J33="","Pendiente OC",IF(COUNTIF(Seguimiento_OC!$A:$A,J33)=0,"OC no registrada",INDEX(Seguimiento_OC!$Y:$Y,MATCH(J33,Seguimiento_OC!$A:$A,0)))))</f>
        <v/>
      </c>
      <c r="L33" s="13"/>
    </row>
    <row r="34" customFormat="false" ht="15" hidden="false" customHeight="false" outlineLevel="0" collapsed="false">
      <c r="A34" s="16"/>
      <c r="B34" s="14" t="str">
        <f aca="false">IF(A34="","",MONTH(A34))</f>
        <v/>
      </c>
      <c r="C34" s="13"/>
      <c r="D34" s="13"/>
      <c r="E34" s="13"/>
      <c r="F34" s="13"/>
      <c r="G34" s="13"/>
      <c r="H34" s="17"/>
      <c r="I34" s="16"/>
      <c r="J34" s="13"/>
      <c r="K34" s="14" t="str">
        <f aca="false">IF(F34="","",IF(J34="","Pendiente OC",IF(COUNTIF(Seguimiento_OC!$A:$A,J34)=0,"OC no registrada",INDEX(Seguimiento_OC!$Y:$Y,MATCH(J34,Seguimiento_OC!$A:$A,0)))))</f>
        <v/>
      </c>
      <c r="L34" s="13"/>
    </row>
    <row r="35" customFormat="false" ht="15" hidden="false" customHeight="false" outlineLevel="0" collapsed="false">
      <c r="A35" s="16"/>
      <c r="B35" s="14" t="str">
        <f aca="false">IF(A35="","",MONTH(A35))</f>
        <v/>
      </c>
      <c r="C35" s="13"/>
      <c r="D35" s="13"/>
      <c r="E35" s="13"/>
      <c r="F35" s="13"/>
      <c r="G35" s="13"/>
      <c r="H35" s="17"/>
      <c r="I35" s="16"/>
      <c r="J35" s="13"/>
      <c r="K35" s="14" t="str">
        <f aca="false">IF(F35="","",IF(J35="","Pendiente OC",IF(COUNTIF(Seguimiento_OC!$A:$A,J35)=0,"OC no registrada",INDEX(Seguimiento_OC!$Y:$Y,MATCH(J35,Seguimiento_OC!$A:$A,0)))))</f>
        <v/>
      </c>
      <c r="L35" s="13"/>
    </row>
    <row r="36" customFormat="false" ht="15" hidden="false" customHeight="false" outlineLevel="0" collapsed="false">
      <c r="A36" s="16"/>
      <c r="B36" s="14" t="str">
        <f aca="false">IF(A36="","",MONTH(A36))</f>
        <v/>
      </c>
      <c r="C36" s="13"/>
      <c r="D36" s="13"/>
      <c r="E36" s="13"/>
      <c r="F36" s="13"/>
      <c r="G36" s="13"/>
      <c r="H36" s="17"/>
      <c r="I36" s="16"/>
      <c r="J36" s="13"/>
      <c r="K36" s="14" t="str">
        <f aca="false">IF(F36="","",IF(J36="","Pendiente OC",IF(COUNTIF(Seguimiento_OC!$A:$A,J36)=0,"OC no registrada",INDEX(Seguimiento_OC!$Y:$Y,MATCH(J36,Seguimiento_OC!$A:$A,0)))))</f>
        <v/>
      </c>
      <c r="L36" s="13"/>
    </row>
    <row r="37" customFormat="false" ht="15" hidden="false" customHeight="false" outlineLevel="0" collapsed="false">
      <c r="A37" s="16"/>
      <c r="B37" s="14" t="str">
        <f aca="false">IF(A37="","",MONTH(A37))</f>
        <v/>
      </c>
      <c r="C37" s="13"/>
      <c r="D37" s="13"/>
      <c r="E37" s="13"/>
      <c r="F37" s="13"/>
      <c r="G37" s="13"/>
      <c r="H37" s="17"/>
      <c r="I37" s="16"/>
      <c r="J37" s="13"/>
      <c r="K37" s="14" t="str">
        <f aca="false">IF(F37="","",IF(J37="","Pendiente OC",IF(COUNTIF(Seguimiento_OC!$A:$A,J37)=0,"OC no registrada",INDEX(Seguimiento_OC!$Y:$Y,MATCH(J37,Seguimiento_OC!$A:$A,0)))))</f>
        <v/>
      </c>
      <c r="L37" s="13"/>
    </row>
    <row r="38" customFormat="false" ht="15" hidden="false" customHeight="false" outlineLevel="0" collapsed="false">
      <c r="A38" s="16"/>
      <c r="B38" s="14" t="str">
        <f aca="false">IF(A38="","",MONTH(A38))</f>
        <v/>
      </c>
      <c r="C38" s="13"/>
      <c r="D38" s="13"/>
      <c r="E38" s="13"/>
      <c r="F38" s="13"/>
      <c r="G38" s="13"/>
      <c r="H38" s="17"/>
      <c r="I38" s="16"/>
      <c r="J38" s="13"/>
      <c r="K38" s="14" t="str">
        <f aca="false">IF(F38="","",IF(J38="","Pendiente OC",IF(COUNTIF(Seguimiento_OC!$A:$A,J38)=0,"OC no registrada",INDEX(Seguimiento_OC!$Y:$Y,MATCH(J38,Seguimiento_OC!$A:$A,0)))))</f>
        <v/>
      </c>
      <c r="L38" s="13"/>
    </row>
    <row r="39" customFormat="false" ht="15" hidden="false" customHeight="false" outlineLevel="0" collapsed="false">
      <c r="A39" s="16"/>
      <c r="B39" s="14" t="str">
        <f aca="false">IF(A39="","",MONTH(A39))</f>
        <v/>
      </c>
      <c r="C39" s="13"/>
      <c r="D39" s="13"/>
      <c r="E39" s="13"/>
      <c r="F39" s="13"/>
      <c r="G39" s="13"/>
      <c r="H39" s="17"/>
      <c r="I39" s="16"/>
      <c r="J39" s="13"/>
      <c r="K39" s="14" t="str">
        <f aca="false">IF(F39="","",IF(J39="","Pendiente OC",IF(COUNTIF(Seguimiento_OC!$A:$A,J39)=0,"OC no registrada",INDEX(Seguimiento_OC!$Y:$Y,MATCH(J39,Seguimiento_OC!$A:$A,0)))))</f>
        <v/>
      </c>
      <c r="L39" s="13"/>
    </row>
    <row r="40" customFormat="false" ht="15" hidden="false" customHeight="false" outlineLevel="0" collapsed="false">
      <c r="A40" s="16"/>
      <c r="B40" s="14" t="str">
        <f aca="false">IF(A40="","",MONTH(A40))</f>
        <v/>
      </c>
      <c r="C40" s="13"/>
      <c r="D40" s="13"/>
      <c r="E40" s="13"/>
      <c r="F40" s="13"/>
      <c r="G40" s="13"/>
      <c r="H40" s="17"/>
      <c r="I40" s="16"/>
      <c r="J40" s="13"/>
      <c r="K40" s="14" t="str">
        <f aca="false">IF(F40="","",IF(J40="","Pendiente OC",IF(COUNTIF(Seguimiento_OC!$A:$A,J40)=0,"OC no registrada",INDEX(Seguimiento_OC!$Y:$Y,MATCH(J40,Seguimiento_OC!$A:$A,0)))))</f>
        <v/>
      </c>
      <c r="L40" s="13"/>
    </row>
    <row r="41" customFormat="false" ht="15" hidden="false" customHeight="false" outlineLevel="0" collapsed="false">
      <c r="A41" s="16"/>
      <c r="B41" s="14" t="str">
        <f aca="false">IF(A41="","",MONTH(A41))</f>
        <v/>
      </c>
      <c r="C41" s="13"/>
      <c r="D41" s="13"/>
      <c r="E41" s="13"/>
      <c r="F41" s="13"/>
      <c r="G41" s="13"/>
      <c r="H41" s="17"/>
      <c r="I41" s="16"/>
      <c r="J41" s="13"/>
      <c r="K41" s="14" t="str">
        <f aca="false">IF(F41="","",IF(J41="","Pendiente OC",IF(COUNTIF(Seguimiento_OC!$A:$A,J41)=0,"OC no registrada",INDEX(Seguimiento_OC!$Y:$Y,MATCH(J41,Seguimiento_OC!$A:$A,0)))))</f>
        <v/>
      </c>
      <c r="L41" s="13"/>
    </row>
    <row r="42" customFormat="false" ht="15" hidden="false" customHeight="false" outlineLevel="0" collapsed="false">
      <c r="A42" s="16"/>
      <c r="B42" s="14" t="str">
        <f aca="false">IF(A42="","",MONTH(A42))</f>
        <v/>
      </c>
      <c r="C42" s="13"/>
      <c r="D42" s="13"/>
      <c r="E42" s="13"/>
      <c r="F42" s="13"/>
      <c r="G42" s="13"/>
      <c r="H42" s="17"/>
      <c r="I42" s="16"/>
      <c r="J42" s="13"/>
      <c r="K42" s="14" t="str">
        <f aca="false">IF(F42="","",IF(J42="","Pendiente OC",IF(COUNTIF(Seguimiento_OC!$A:$A,J42)=0,"OC no registrada",INDEX(Seguimiento_OC!$Y:$Y,MATCH(J42,Seguimiento_OC!$A:$A,0)))))</f>
        <v/>
      </c>
      <c r="L42" s="13"/>
    </row>
    <row r="43" customFormat="false" ht="15" hidden="false" customHeight="false" outlineLevel="0" collapsed="false">
      <c r="A43" s="16"/>
      <c r="B43" s="14" t="str">
        <f aca="false">IF(A43="","",MONTH(A43))</f>
        <v/>
      </c>
      <c r="C43" s="13"/>
      <c r="D43" s="13"/>
      <c r="E43" s="13"/>
      <c r="F43" s="13"/>
      <c r="G43" s="13"/>
      <c r="H43" s="17"/>
      <c r="I43" s="16"/>
      <c r="J43" s="13"/>
      <c r="K43" s="14" t="str">
        <f aca="false">IF(F43="","",IF(J43="","Pendiente OC",IF(COUNTIF(Seguimiento_OC!$A:$A,J43)=0,"OC no registrada",INDEX(Seguimiento_OC!$Y:$Y,MATCH(J43,Seguimiento_OC!$A:$A,0)))))</f>
        <v/>
      </c>
      <c r="L43" s="13"/>
    </row>
    <row r="44" customFormat="false" ht="15" hidden="false" customHeight="false" outlineLevel="0" collapsed="false">
      <c r="A44" s="16"/>
      <c r="B44" s="14" t="str">
        <f aca="false">IF(A44="","",MONTH(A44))</f>
        <v/>
      </c>
      <c r="C44" s="13"/>
      <c r="D44" s="13"/>
      <c r="E44" s="13"/>
      <c r="F44" s="13"/>
      <c r="G44" s="13"/>
      <c r="H44" s="17"/>
      <c r="I44" s="16"/>
      <c r="J44" s="13"/>
      <c r="K44" s="14" t="str">
        <f aca="false">IF(F44="","",IF(J44="","Pendiente OC",IF(COUNTIF(Seguimiento_OC!$A:$A,J44)=0,"OC no registrada",INDEX(Seguimiento_OC!$Y:$Y,MATCH(J44,Seguimiento_OC!$A:$A,0)))))</f>
        <v/>
      </c>
      <c r="L44" s="13"/>
    </row>
    <row r="45" customFormat="false" ht="15" hidden="false" customHeight="false" outlineLevel="0" collapsed="false">
      <c r="A45" s="16"/>
      <c r="B45" s="14" t="str">
        <f aca="false">IF(A45="","",MONTH(A45))</f>
        <v/>
      </c>
      <c r="C45" s="13"/>
      <c r="D45" s="13"/>
      <c r="E45" s="13"/>
      <c r="F45" s="13"/>
      <c r="G45" s="13"/>
      <c r="H45" s="17"/>
      <c r="I45" s="16"/>
      <c r="J45" s="13"/>
      <c r="K45" s="14" t="str">
        <f aca="false">IF(F45="","",IF(J45="","Pendiente OC",IF(COUNTIF(Seguimiento_OC!$A:$A,J45)=0,"OC no registrada",INDEX(Seguimiento_OC!$Y:$Y,MATCH(J45,Seguimiento_OC!$A:$A,0)))))</f>
        <v/>
      </c>
      <c r="L45" s="13"/>
    </row>
    <row r="46" customFormat="false" ht="15" hidden="false" customHeight="false" outlineLevel="0" collapsed="false">
      <c r="A46" s="16"/>
      <c r="B46" s="14" t="str">
        <f aca="false">IF(A46="","",MONTH(A46))</f>
        <v/>
      </c>
      <c r="C46" s="13"/>
      <c r="D46" s="13"/>
      <c r="E46" s="13"/>
      <c r="F46" s="13"/>
      <c r="G46" s="13"/>
      <c r="H46" s="17"/>
      <c r="I46" s="16"/>
      <c r="J46" s="13"/>
      <c r="K46" s="14" t="str">
        <f aca="false">IF(F46="","",IF(J46="","Pendiente OC",IF(COUNTIF(Seguimiento_OC!$A:$A,J46)=0,"OC no registrada",INDEX(Seguimiento_OC!$Y:$Y,MATCH(J46,Seguimiento_OC!$A:$A,0)))))</f>
        <v/>
      </c>
      <c r="L46" s="13"/>
    </row>
    <row r="47" customFormat="false" ht="15" hidden="false" customHeight="false" outlineLevel="0" collapsed="false">
      <c r="A47" s="16"/>
      <c r="B47" s="14" t="str">
        <f aca="false">IF(A47="","",MONTH(A47))</f>
        <v/>
      </c>
      <c r="C47" s="13"/>
      <c r="D47" s="13"/>
      <c r="E47" s="13"/>
      <c r="F47" s="13"/>
      <c r="G47" s="13"/>
      <c r="H47" s="17"/>
      <c r="I47" s="16"/>
      <c r="J47" s="13"/>
      <c r="K47" s="14" t="str">
        <f aca="false">IF(F47="","",IF(J47="","Pendiente OC",IF(COUNTIF(Seguimiento_OC!$A:$A,J47)=0,"OC no registrada",INDEX(Seguimiento_OC!$Y:$Y,MATCH(J47,Seguimiento_OC!$A:$A,0)))))</f>
        <v/>
      </c>
      <c r="L47" s="13"/>
    </row>
    <row r="48" customFormat="false" ht="15" hidden="false" customHeight="false" outlineLevel="0" collapsed="false">
      <c r="A48" s="16"/>
      <c r="B48" s="14" t="str">
        <f aca="false">IF(A48="","",MONTH(A48))</f>
        <v/>
      </c>
      <c r="C48" s="13"/>
      <c r="D48" s="13"/>
      <c r="E48" s="13"/>
      <c r="F48" s="13"/>
      <c r="G48" s="13"/>
      <c r="H48" s="17"/>
      <c r="I48" s="16"/>
      <c r="J48" s="13"/>
      <c r="K48" s="14" t="str">
        <f aca="false">IF(F48="","",IF(J48="","Pendiente OC",IF(COUNTIF(Seguimiento_OC!$A:$A,J48)=0,"OC no registrada",INDEX(Seguimiento_OC!$Y:$Y,MATCH(J48,Seguimiento_OC!$A:$A,0)))))</f>
        <v/>
      </c>
      <c r="L48" s="13"/>
    </row>
    <row r="49" customFormat="false" ht="15" hidden="false" customHeight="false" outlineLevel="0" collapsed="false">
      <c r="A49" s="16"/>
      <c r="B49" s="14" t="str">
        <f aca="false">IF(A49="","",MONTH(A49))</f>
        <v/>
      </c>
      <c r="C49" s="13"/>
      <c r="D49" s="13"/>
      <c r="E49" s="13"/>
      <c r="F49" s="13"/>
      <c r="G49" s="13"/>
      <c r="H49" s="17"/>
      <c r="I49" s="16"/>
      <c r="J49" s="13"/>
      <c r="K49" s="14" t="str">
        <f aca="false">IF(F49="","",IF(J49="","Pendiente OC",IF(COUNTIF(Seguimiento_OC!$A:$A,J49)=0,"OC no registrada",INDEX(Seguimiento_OC!$Y:$Y,MATCH(J49,Seguimiento_OC!$A:$A,0)))))</f>
        <v/>
      </c>
      <c r="L49" s="13"/>
    </row>
    <row r="50" customFormat="false" ht="15" hidden="false" customHeight="false" outlineLevel="0" collapsed="false">
      <c r="A50" s="16"/>
      <c r="B50" s="14" t="str">
        <f aca="false">IF(A50="","",MONTH(A50))</f>
        <v/>
      </c>
      <c r="C50" s="13"/>
      <c r="D50" s="13"/>
      <c r="E50" s="13"/>
      <c r="F50" s="13"/>
      <c r="G50" s="13"/>
      <c r="H50" s="17"/>
      <c r="I50" s="16"/>
      <c r="J50" s="13"/>
      <c r="K50" s="14" t="str">
        <f aca="false">IF(F50="","",IF(J50="","Pendiente OC",IF(COUNTIF(Seguimiento_OC!$A:$A,J50)=0,"OC no registrada",INDEX(Seguimiento_OC!$Y:$Y,MATCH(J50,Seguimiento_OC!$A:$A,0)))))</f>
        <v/>
      </c>
      <c r="L50" s="13"/>
    </row>
    <row r="51" customFormat="false" ht="15" hidden="false" customHeight="false" outlineLevel="0" collapsed="false">
      <c r="A51" s="16"/>
      <c r="B51" s="14" t="str">
        <f aca="false">IF(A51="","",MONTH(A51))</f>
        <v/>
      </c>
      <c r="C51" s="13"/>
      <c r="D51" s="13"/>
      <c r="E51" s="13"/>
      <c r="F51" s="13"/>
      <c r="G51" s="13"/>
      <c r="H51" s="17"/>
      <c r="I51" s="16"/>
      <c r="J51" s="13"/>
      <c r="K51" s="14" t="str">
        <f aca="false">IF(F51="","",IF(J51="","Pendiente OC",IF(COUNTIF(Seguimiento_OC!$A:$A,J51)=0,"OC no registrada",INDEX(Seguimiento_OC!$Y:$Y,MATCH(J51,Seguimiento_OC!$A:$A,0)))))</f>
        <v/>
      </c>
      <c r="L51" s="13"/>
    </row>
    <row r="52" customFormat="false" ht="15" hidden="false" customHeight="false" outlineLevel="0" collapsed="false">
      <c r="A52" s="16"/>
      <c r="B52" s="14" t="str">
        <f aca="false">IF(A52="","",MONTH(A52))</f>
        <v/>
      </c>
      <c r="C52" s="13"/>
      <c r="D52" s="13"/>
      <c r="E52" s="13"/>
      <c r="F52" s="13"/>
      <c r="G52" s="13"/>
      <c r="H52" s="17"/>
      <c r="I52" s="16"/>
      <c r="J52" s="13"/>
      <c r="K52" s="14" t="str">
        <f aca="false">IF(F52="","",IF(J52="","Pendiente OC",IF(COUNTIF(Seguimiento_OC!$A:$A,J52)=0,"OC no registrada",INDEX(Seguimiento_OC!$Y:$Y,MATCH(J52,Seguimiento_OC!$A:$A,0)))))</f>
        <v/>
      </c>
      <c r="L52" s="13"/>
    </row>
    <row r="53" customFormat="false" ht="15" hidden="false" customHeight="false" outlineLevel="0" collapsed="false">
      <c r="A53" s="16"/>
      <c r="B53" s="14" t="str">
        <f aca="false">IF(A53="","",MONTH(A53))</f>
        <v/>
      </c>
      <c r="C53" s="13"/>
      <c r="D53" s="13"/>
      <c r="E53" s="13"/>
      <c r="F53" s="13"/>
      <c r="G53" s="13"/>
      <c r="H53" s="17"/>
      <c r="I53" s="16"/>
      <c r="J53" s="13"/>
      <c r="K53" s="14" t="str">
        <f aca="false">IF(F53="","",IF(J53="","Pendiente OC",IF(COUNTIF(Seguimiento_OC!$A:$A,J53)=0,"OC no registrada",INDEX(Seguimiento_OC!$Y:$Y,MATCH(J53,Seguimiento_OC!$A:$A,0)))))</f>
        <v/>
      </c>
      <c r="L53" s="13"/>
    </row>
    <row r="54" customFormat="false" ht="15" hidden="false" customHeight="false" outlineLevel="0" collapsed="false">
      <c r="A54" s="16"/>
      <c r="B54" s="14" t="str">
        <f aca="false">IF(A54="","",MONTH(A54))</f>
        <v/>
      </c>
      <c r="C54" s="13"/>
      <c r="D54" s="13"/>
      <c r="E54" s="13"/>
      <c r="F54" s="13"/>
      <c r="G54" s="13"/>
      <c r="H54" s="17"/>
      <c r="I54" s="16"/>
      <c r="J54" s="13"/>
      <c r="K54" s="14" t="str">
        <f aca="false">IF(F54="","",IF(J54="","Pendiente OC",IF(COUNTIF(Seguimiento_OC!$A:$A,J54)=0,"OC no registrada",INDEX(Seguimiento_OC!$Y:$Y,MATCH(J54,Seguimiento_OC!$A:$A,0)))))</f>
        <v/>
      </c>
      <c r="L54" s="13"/>
    </row>
    <row r="55" customFormat="false" ht="15" hidden="false" customHeight="false" outlineLevel="0" collapsed="false">
      <c r="A55" s="16"/>
      <c r="B55" s="14" t="str">
        <f aca="false">IF(A55="","",MONTH(A55))</f>
        <v/>
      </c>
      <c r="C55" s="13"/>
      <c r="D55" s="13"/>
      <c r="E55" s="13"/>
      <c r="F55" s="13"/>
      <c r="G55" s="13"/>
      <c r="H55" s="17"/>
      <c r="I55" s="16"/>
      <c r="J55" s="13"/>
      <c r="K55" s="14" t="str">
        <f aca="false">IF(F55="","",IF(J55="","Pendiente OC",IF(COUNTIF(Seguimiento_OC!$A:$A,J55)=0,"OC no registrada",INDEX(Seguimiento_OC!$Y:$Y,MATCH(J55,Seguimiento_OC!$A:$A,0)))))</f>
        <v/>
      </c>
      <c r="L55" s="13"/>
    </row>
    <row r="56" customFormat="false" ht="15" hidden="false" customHeight="false" outlineLevel="0" collapsed="false">
      <c r="A56" s="16"/>
      <c r="B56" s="14" t="str">
        <f aca="false">IF(A56="","",MONTH(A56))</f>
        <v/>
      </c>
      <c r="C56" s="13"/>
      <c r="D56" s="13"/>
      <c r="E56" s="13"/>
      <c r="F56" s="13"/>
      <c r="G56" s="13"/>
      <c r="H56" s="17"/>
      <c r="I56" s="16"/>
      <c r="J56" s="13"/>
      <c r="K56" s="14" t="str">
        <f aca="false">IF(F56="","",IF(J56="","Pendiente OC",IF(COUNTIF(Seguimiento_OC!$A:$A,J56)=0,"OC no registrada",INDEX(Seguimiento_OC!$Y:$Y,MATCH(J56,Seguimiento_OC!$A:$A,0)))))</f>
        <v/>
      </c>
      <c r="L56" s="13"/>
    </row>
    <row r="57" customFormat="false" ht="15" hidden="false" customHeight="false" outlineLevel="0" collapsed="false">
      <c r="A57" s="16"/>
      <c r="B57" s="14" t="str">
        <f aca="false">IF(A57="","",MONTH(A57))</f>
        <v/>
      </c>
      <c r="C57" s="13"/>
      <c r="D57" s="13"/>
      <c r="E57" s="13"/>
      <c r="F57" s="13"/>
      <c r="G57" s="13"/>
      <c r="H57" s="17"/>
      <c r="I57" s="16"/>
      <c r="J57" s="13"/>
      <c r="K57" s="14" t="str">
        <f aca="false">IF(F57="","",IF(J57="","Pendiente OC",IF(COUNTIF(Seguimiento_OC!$A:$A,J57)=0,"OC no registrada",INDEX(Seguimiento_OC!$Y:$Y,MATCH(J57,Seguimiento_OC!$A:$A,0)))))</f>
        <v/>
      </c>
      <c r="L57" s="13"/>
    </row>
    <row r="58" customFormat="false" ht="15" hidden="false" customHeight="false" outlineLevel="0" collapsed="false">
      <c r="A58" s="16"/>
      <c r="B58" s="14" t="str">
        <f aca="false">IF(A58="","",MONTH(A58))</f>
        <v/>
      </c>
      <c r="C58" s="13"/>
      <c r="D58" s="13"/>
      <c r="E58" s="13"/>
      <c r="F58" s="13"/>
      <c r="G58" s="13"/>
      <c r="H58" s="17"/>
      <c r="I58" s="16"/>
      <c r="J58" s="13"/>
      <c r="K58" s="14" t="str">
        <f aca="false">IF(F58="","",IF(J58="","Pendiente OC",IF(COUNTIF(Seguimiento_OC!$A:$A,J58)=0,"OC no registrada",INDEX(Seguimiento_OC!$Y:$Y,MATCH(J58,Seguimiento_OC!$A:$A,0)))))</f>
        <v/>
      </c>
      <c r="L58" s="13"/>
    </row>
    <row r="59" customFormat="false" ht="15" hidden="false" customHeight="false" outlineLevel="0" collapsed="false">
      <c r="A59" s="16"/>
      <c r="B59" s="14" t="str">
        <f aca="false">IF(A59="","",MONTH(A59))</f>
        <v/>
      </c>
      <c r="C59" s="13"/>
      <c r="D59" s="13"/>
      <c r="E59" s="13"/>
      <c r="F59" s="13"/>
      <c r="G59" s="13"/>
      <c r="H59" s="17"/>
      <c r="I59" s="16"/>
      <c r="J59" s="13"/>
      <c r="K59" s="14" t="str">
        <f aca="false">IF(F59="","",IF(J59="","Pendiente OC",IF(COUNTIF(Seguimiento_OC!$A:$A,J59)=0,"OC no registrada",INDEX(Seguimiento_OC!$Y:$Y,MATCH(J59,Seguimiento_OC!$A:$A,0)))))</f>
        <v/>
      </c>
      <c r="L59" s="13"/>
    </row>
    <row r="60" customFormat="false" ht="15" hidden="false" customHeight="false" outlineLevel="0" collapsed="false">
      <c r="A60" s="16"/>
      <c r="B60" s="14" t="str">
        <f aca="false">IF(A60="","",MONTH(A60))</f>
        <v/>
      </c>
      <c r="C60" s="13"/>
      <c r="D60" s="13"/>
      <c r="E60" s="13"/>
      <c r="F60" s="13"/>
      <c r="G60" s="13"/>
      <c r="H60" s="17"/>
      <c r="I60" s="16"/>
      <c r="J60" s="13"/>
      <c r="K60" s="14" t="str">
        <f aca="false">IF(F60="","",IF(J60="","Pendiente OC",IF(COUNTIF(Seguimiento_OC!$A:$A,J60)=0,"OC no registrada",INDEX(Seguimiento_OC!$Y:$Y,MATCH(J60,Seguimiento_OC!$A:$A,0)))))</f>
        <v/>
      </c>
      <c r="L60" s="13"/>
    </row>
    <row r="61" customFormat="false" ht="15" hidden="false" customHeight="false" outlineLevel="0" collapsed="false">
      <c r="A61" s="16"/>
      <c r="B61" s="14" t="str">
        <f aca="false">IF(A61="","",MONTH(A61))</f>
        <v/>
      </c>
      <c r="C61" s="13"/>
      <c r="D61" s="13"/>
      <c r="E61" s="13"/>
      <c r="F61" s="13"/>
      <c r="G61" s="13"/>
      <c r="H61" s="17"/>
      <c r="I61" s="16"/>
      <c r="J61" s="13"/>
      <c r="K61" s="14" t="str">
        <f aca="false">IF(F61="","",IF(J61="","Pendiente OC",IF(COUNTIF(Seguimiento_OC!$A:$A,J61)=0,"OC no registrada",INDEX(Seguimiento_OC!$Y:$Y,MATCH(J61,Seguimiento_OC!$A:$A,0)))))</f>
        <v/>
      </c>
      <c r="L61" s="13"/>
    </row>
    <row r="62" customFormat="false" ht="15" hidden="false" customHeight="false" outlineLevel="0" collapsed="false">
      <c r="A62" s="16"/>
      <c r="B62" s="14" t="str">
        <f aca="false">IF(A62="","",MONTH(A62))</f>
        <v/>
      </c>
      <c r="C62" s="13"/>
      <c r="D62" s="13"/>
      <c r="E62" s="13"/>
      <c r="F62" s="13"/>
      <c r="G62" s="13"/>
      <c r="H62" s="17"/>
      <c r="I62" s="16"/>
      <c r="J62" s="13"/>
      <c r="K62" s="14" t="str">
        <f aca="false">IF(F62="","",IF(J62="","Pendiente OC",IF(COUNTIF(Seguimiento_OC!$A:$A,J62)=0,"OC no registrada",INDEX(Seguimiento_OC!$Y:$Y,MATCH(J62,Seguimiento_OC!$A:$A,0)))))</f>
        <v/>
      </c>
      <c r="L62" s="13"/>
    </row>
    <row r="63" customFormat="false" ht="15" hidden="false" customHeight="false" outlineLevel="0" collapsed="false">
      <c r="A63" s="16"/>
      <c r="B63" s="14" t="str">
        <f aca="false">IF(A63="","",MONTH(A63))</f>
        <v/>
      </c>
      <c r="C63" s="13"/>
      <c r="D63" s="13"/>
      <c r="E63" s="13"/>
      <c r="F63" s="13"/>
      <c r="G63" s="13"/>
      <c r="H63" s="17"/>
      <c r="I63" s="16"/>
      <c r="J63" s="13"/>
      <c r="K63" s="14" t="str">
        <f aca="false">IF(F63="","",IF(J63="","Pendiente OC",IF(COUNTIF(Seguimiento_OC!$A:$A,J63)=0,"OC no registrada",INDEX(Seguimiento_OC!$Y:$Y,MATCH(J63,Seguimiento_OC!$A:$A,0)))))</f>
        <v/>
      </c>
      <c r="L63" s="13"/>
    </row>
    <row r="64" customFormat="false" ht="15" hidden="false" customHeight="false" outlineLevel="0" collapsed="false">
      <c r="A64" s="16"/>
      <c r="B64" s="14" t="str">
        <f aca="false">IF(A64="","",MONTH(A64))</f>
        <v/>
      </c>
      <c r="C64" s="13"/>
      <c r="D64" s="13"/>
      <c r="E64" s="13"/>
      <c r="F64" s="13"/>
      <c r="G64" s="13"/>
      <c r="H64" s="17"/>
      <c r="I64" s="16"/>
      <c r="J64" s="13"/>
      <c r="K64" s="14" t="str">
        <f aca="false">IF(F64="","",IF(J64="","Pendiente OC",IF(COUNTIF(Seguimiento_OC!$A:$A,J64)=0,"OC no registrada",INDEX(Seguimiento_OC!$Y:$Y,MATCH(J64,Seguimiento_OC!$A:$A,0)))))</f>
        <v/>
      </c>
      <c r="L64" s="13"/>
    </row>
    <row r="65" customFormat="false" ht="15" hidden="false" customHeight="false" outlineLevel="0" collapsed="false">
      <c r="A65" s="16"/>
      <c r="B65" s="14" t="str">
        <f aca="false">IF(A65="","",MONTH(A65))</f>
        <v/>
      </c>
      <c r="C65" s="13"/>
      <c r="D65" s="13"/>
      <c r="E65" s="13"/>
      <c r="F65" s="13"/>
      <c r="G65" s="13"/>
      <c r="H65" s="17"/>
      <c r="I65" s="16"/>
      <c r="J65" s="13"/>
      <c r="K65" s="14" t="str">
        <f aca="false">IF(F65="","",IF(J65="","Pendiente OC",IF(COUNTIF(Seguimiento_OC!$A:$A,J65)=0,"OC no registrada",INDEX(Seguimiento_OC!$Y:$Y,MATCH(J65,Seguimiento_OC!$A:$A,0)))))</f>
        <v/>
      </c>
      <c r="L65" s="13"/>
    </row>
    <row r="66" customFormat="false" ht="15" hidden="false" customHeight="false" outlineLevel="0" collapsed="false">
      <c r="A66" s="16"/>
      <c r="B66" s="14" t="str">
        <f aca="false">IF(A66="","",MONTH(A66))</f>
        <v/>
      </c>
      <c r="C66" s="13"/>
      <c r="D66" s="13"/>
      <c r="E66" s="13"/>
      <c r="F66" s="13"/>
      <c r="G66" s="13"/>
      <c r="H66" s="17"/>
      <c r="I66" s="16"/>
      <c r="J66" s="13"/>
      <c r="K66" s="14" t="str">
        <f aca="false">IF(F66="","",IF(J66="","Pendiente OC",IF(COUNTIF(Seguimiento_OC!$A:$A,J66)=0,"OC no registrada",INDEX(Seguimiento_OC!$Y:$Y,MATCH(J66,Seguimiento_OC!$A:$A,0)))))</f>
        <v/>
      </c>
      <c r="L66" s="13"/>
    </row>
    <row r="67" customFormat="false" ht="15" hidden="false" customHeight="false" outlineLevel="0" collapsed="false">
      <c r="A67" s="16"/>
      <c r="B67" s="14" t="str">
        <f aca="false">IF(A67="","",MONTH(A67))</f>
        <v/>
      </c>
      <c r="C67" s="13"/>
      <c r="D67" s="13"/>
      <c r="E67" s="13"/>
      <c r="F67" s="13"/>
      <c r="G67" s="13"/>
      <c r="H67" s="17"/>
      <c r="I67" s="16"/>
      <c r="J67" s="13"/>
      <c r="K67" s="14" t="str">
        <f aca="false">IF(F67="","",IF(J67="","Pendiente OC",IF(COUNTIF(Seguimiento_OC!$A:$A,J67)=0,"OC no registrada",INDEX(Seguimiento_OC!$Y:$Y,MATCH(J67,Seguimiento_OC!$A:$A,0)))))</f>
        <v/>
      </c>
      <c r="L67" s="13"/>
    </row>
    <row r="68" customFormat="false" ht="15" hidden="false" customHeight="false" outlineLevel="0" collapsed="false">
      <c r="A68" s="16"/>
      <c r="B68" s="14" t="str">
        <f aca="false">IF(A68="","",MONTH(A68))</f>
        <v/>
      </c>
      <c r="C68" s="13"/>
      <c r="D68" s="13"/>
      <c r="E68" s="13"/>
      <c r="F68" s="13"/>
      <c r="G68" s="13"/>
      <c r="H68" s="17"/>
      <c r="I68" s="16"/>
      <c r="J68" s="13"/>
      <c r="K68" s="14" t="str">
        <f aca="false">IF(F68="","",IF(J68="","Pendiente OC",IF(COUNTIF(Seguimiento_OC!$A:$A,J68)=0,"OC no registrada",INDEX(Seguimiento_OC!$Y:$Y,MATCH(J68,Seguimiento_OC!$A:$A,0)))))</f>
        <v/>
      </c>
      <c r="L68" s="13"/>
    </row>
    <row r="69" customFormat="false" ht="15" hidden="false" customHeight="false" outlineLevel="0" collapsed="false">
      <c r="A69" s="16"/>
      <c r="B69" s="14" t="str">
        <f aca="false">IF(A69="","",MONTH(A69))</f>
        <v/>
      </c>
      <c r="C69" s="13"/>
      <c r="D69" s="13"/>
      <c r="E69" s="13"/>
      <c r="F69" s="13"/>
      <c r="G69" s="13"/>
      <c r="H69" s="17"/>
      <c r="I69" s="16"/>
      <c r="J69" s="13"/>
      <c r="K69" s="14" t="str">
        <f aca="false">IF(F69="","",IF(J69="","Pendiente OC",IF(COUNTIF(Seguimiento_OC!$A:$A,J69)=0,"OC no registrada",INDEX(Seguimiento_OC!$Y:$Y,MATCH(J69,Seguimiento_OC!$A:$A,0)))))</f>
        <v/>
      </c>
      <c r="L69" s="13"/>
    </row>
    <row r="70" customFormat="false" ht="15" hidden="false" customHeight="false" outlineLevel="0" collapsed="false">
      <c r="A70" s="16"/>
      <c r="B70" s="14" t="str">
        <f aca="false">IF(A70="","",MONTH(A70))</f>
        <v/>
      </c>
      <c r="C70" s="13"/>
      <c r="D70" s="13"/>
      <c r="E70" s="13"/>
      <c r="F70" s="13"/>
      <c r="G70" s="13"/>
      <c r="H70" s="17"/>
      <c r="I70" s="16"/>
      <c r="J70" s="13"/>
      <c r="K70" s="14" t="str">
        <f aca="false">IF(F70="","",IF(J70="","Pendiente OC",IF(COUNTIF(Seguimiento_OC!$A:$A,J70)=0,"OC no registrada",INDEX(Seguimiento_OC!$Y:$Y,MATCH(J70,Seguimiento_OC!$A:$A,0)))))</f>
        <v/>
      </c>
      <c r="L70" s="13"/>
    </row>
    <row r="71" customFormat="false" ht="15" hidden="false" customHeight="false" outlineLevel="0" collapsed="false">
      <c r="A71" s="16"/>
      <c r="B71" s="14" t="str">
        <f aca="false">IF(A71="","",MONTH(A71))</f>
        <v/>
      </c>
      <c r="C71" s="13"/>
      <c r="D71" s="13"/>
      <c r="E71" s="13"/>
      <c r="F71" s="13"/>
      <c r="G71" s="13"/>
      <c r="H71" s="17"/>
      <c r="I71" s="16"/>
      <c r="J71" s="13"/>
      <c r="K71" s="14" t="str">
        <f aca="false">IF(F71="","",IF(J71="","Pendiente OC",IF(COUNTIF(Seguimiento_OC!$A:$A,J71)=0,"OC no registrada",INDEX(Seguimiento_OC!$Y:$Y,MATCH(J71,Seguimiento_OC!$A:$A,0)))))</f>
        <v/>
      </c>
      <c r="L71" s="13"/>
    </row>
    <row r="72" customFormat="false" ht="15" hidden="false" customHeight="false" outlineLevel="0" collapsed="false">
      <c r="A72" s="16"/>
      <c r="B72" s="14" t="str">
        <f aca="false">IF(A72="","",MONTH(A72))</f>
        <v/>
      </c>
      <c r="C72" s="13"/>
      <c r="D72" s="13"/>
      <c r="E72" s="13"/>
      <c r="F72" s="13"/>
      <c r="G72" s="13"/>
      <c r="H72" s="17"/>
      <c r="I72" s="16"/>
      <c r="J72" s="13"/>
      <c r="K72" s="14" t="str">
        <f aca="false">IF(F72="","",IF(J72="","Pendiente OC",IF(COUNTIF(Seguimiento_OC!$A:$A,J72)=0,"OC no registrada",INDEX(Seguimiento_OC!$Y:$Y,MATCH(J72,Seguimiento_OC!$A:$A,0)))))</f>
        <v/>
      </c>
      <c r="L72" s="13"/>
    </row>
    <row r="73" customFormat="false" ht="15" hidden="false" customHeight="false" outlineLevel="0" collapsed="false">
      <c r="A73" s="16"/>
      <c r="B73" s="14" t="str">
        <f aca="false">IF(A73="","",MONTH(A73))</f>
        <v/>
      </c>
      <c r="C73" s="13"/>
      <c r="D73" s="13"/>
      <c r="E73" s="13"/>
      <c r="F73" s="13"/>
      <c r="G73" s="13"/>
      <c r="H73" s="17"/>
      <c r="I73" s="16"/>
      <c r="J73" s="13"/>
      <c r="K73" s="14" t="str">
        <f aca="false">IF(F73="","",IF(J73="","Pendiente OC",IF(COUNTIF(Seguimiento_OC!$A:$A,J73)=0,"OC no registrada",INDEX(Seguimiento_OC!$Y:$Y,MATCH(J73,Seguimiento_OC!$A:$A,0)))))</f>
        <v/>
      </c>
      <c r="L73" s="13"/>
    </row>
    <row r="74" customFormat="false" ht="15" hidden="false" customHeight="false" outlineLevel="0" collapsed="false">
      <c r="A74" s="16"/>
      <c r="B74" s="14" t="str">
        <f aca="false">IF(A74="","",MONTH(A74))</f>
        <v/>
      </c>
      <c r="C74" s="13"/>
      <c r="D74" s="13"/>
      <c r="E74" s="13"/>
      <c r="F74" s="13"/>
      <c r="G74" s="13"/>
      <c r="H74" s="17"/>
      <c r="I74" s="16"/>
      <c r="J74" s="13"/>
      <c r="K74" s="14" t="str">
        <f aca="false">IF(F74="","",IF(J74="","Pendiente OC",IF(COUNTIF(Seguimiento_OC!$A:$A,J74)=0,"OC no registrada",INDEX(Seguimiento_OC!$Y:$Y,MATCH(J74,Seguimiento_OC!$A:$A,0)))))</f>
        <v/>
      </c>
      <c r="L74" s="13"/>
    </row>
    <row r="75" customFormat="false" ht="15" hidden="false" customHeight="false" outlineLevel="0" collapsed="false">
      <c r="A75" s="16"/>
      <c r="B75" s="14" t="str">
        <f aca="false">IF(A75="","",MONTH(A75))</f>
        <v/>
      </c>
      <c r="C75" s="13"/>
      <c r="D75" s="13"/>
      <c r="E75" s="13"/>
      <c r="F75" s="13"/>
      <c r="G75" s="13"/>
      <c r="H75" s="17"/>
      <c r="I75" s="16"/>
      <c r="J75" s="13"/>
      <c r="K75" s="14" t="str">
        <f aca="false">IF(F75="","",IF(J75="","Pendiente OC",IF(COUNTIF(Seguimiento_OC!$A:$A,J75)=0,"OC no registrada",INDEX(Seguimiento_OC!$Y:$Y,MATCH(J75,Seguimiento_OC!$A:$A,0)))))</f>
        <v/>
      </c>
      <c r="L75" s="13"/>
    </row>
    <row r="76" customFormat="false" ht="15" hidden="false" customHeight="false" outlineLevel="0" collapsed="false">
      <c r="A76" s="16"/>
      <c r="B76" s="14" t="str">
        <f aca="false">IF(A76="","",MONTH(A76))</f>
        <v/>
      </c>
      <c r="C76" s="13"/>
      <c r="D76" s="13"/>
      <c r="E76" s="13"/>
      <c r="F76" s="13"/>
      <c r="G76" s="13"/>
      <c r="H76" s="17"/>
      <c r="I76" s="16"/>
      <c r="J76" s="13"/>
      <c r="K76" s="14" t="str">
        <f aca="false">IF(F76="","",IF(J76="","Pendiente OC",IF(COUNTIF(Seguimiento_OC!$A:$A,J76)=0,"OC no registrada",INDEX(Seguimiento_OC!$Y:$Y,MATCH(J76,Seguimiento_OC!$A:$A,0)))))</f>
        <v/>
      </c>
      <c r="L76" s="13"/>
    </row>
    <row r="77" customFormat="false" ht="15" hidden="false" customHeight="false" outlineLevel="0" collapsed="false">
      <c r="A77" s="16"/>
      <c r="B77" s="14" t="str">
        <f aca="false">IF(A77="","",MONTH(A77))</f>
        <v/>
      </c>
      <c r="C77" s="13"/>
      <c r="D77" s="13"/>
      <c r="E77" s="13"/>
      <c r="F77" s="13"/>
      <c r="G77" s="13"/>
      <c r="H77" s="17"/>
      <c r="I77" s="16"/>
      <c r="J77" s="13"/>
      <c r="K77" s="14" t="str">
        <f aca="false">IF(F77="","",IF(J77="","Pendiente OC",IF(COUNTIF(Seguimiento_OC!$A:$A,J77)=0,"OC no registrada",INDEX(Seguimiento_OC!$Y:$Y,MATCH(J77,Seguimiento_OC!$A:$A,0)))))</f>
        <v/>
      </c>
      <c r="L77" s="13"/>
    </row>
    <row r="78" customFormat="false" ht="15" hidden="false" customHeight="false" outlineLevel="0" collapsed="false">
      <c r="A78" s="16"/>
      <c r="B78" s="14" t="str">
        <f aca="false">IF(A78="","",MONTH(A78))</f>
        <v/>
      </c>
      <c r="C78" s="13"/>
      <c r="D78" s="13"/>
      <c r="E78" s="13"/>
      <c r="F78" s="13"/>
      <c r="G78" s="13"/>
      <c r="H78" s="17"/>
      <c r="I78" s="16"/>
      <c r="J78" s="13"/>
      <c r="K78" s="14" t="str">
        <f aca="false">IF(F78="","",IF(J78="","Pendiente OC",IF(COUNTIF(Seguimiento_OC!$A:$A,J78)=0,"OC no registrada",INDEX(Seguimiento_OC!$Y:$Y,MATCH(J78,Seguimiento_OC!$A:$A,0)))))</f>
        <v/>
      </c>
      <c r="L78" s="13"/>
    </row>
    <row r="79" customFormat="false" ht="15" hidden="false" customHeight="false" outlineLevel="0" collapsed="false">
      <c r="A79" s="16"/>
      <c r="B79" s="14" t="str">
        <f aca="false">IF(A79="","",MONTH(A79))</f>
        <v/>
      </c>
      <c r="C79" s="13"/>
      <c r="D79" s="13"/>
      <c r="E79" s="13"/>
      <c r="F79" s="13"/>
      <c r="G79" s="13"/>
      <c r="H79" s="17"/>
      <c r="I79" s="16"/>
      <c r="J79" s="13"/>
      <c r="K79" s="14" t="str">
        <f aca="false">IF(F79="","",IF(J79="","Pendiente OC",IF(COUNTIF(Seguimiento_OC!$A:$A,J79)=0,"OC no registrada",INDEX(Seguimiento_OC!$Y:$Y,MATCH(J79,Seguimiento_OC!$A:$A,0)))))</f>
        <v/>
      </c>
      <c r="L79" s="13"/>
    </row>
    <row r="80" customFormat="false" ht="15" hidden="false" customHeight="false" outlineLevel="0" collapsed="false">
      <c r="A80" s="16"/>
      <c r="B80" s="14" t="str">
        <f aca="false">IF(A80="","",MONTH(A80))</f>
        <v/>
      </c>
      <c r="C80" s="13"/>
      <c r="D80" s="13"/>
      <c r="E80" s="13"/>
      <c r="F80" s="13"/>
      <c r="G80" s="13"/>
      <c r="H80" s="17"/>
      <c r="I80" s="16"/>
      <c r="J80" s="13"/>
      <c r="K80" s="14" t="str">
        <f aca="false">IF(F80="","",IF(J80="","Pendiente OC",IF(COUNTIF(Seguimiento_OC!$A:$A,J80)=0,"OC no registrada",INDEX(Seguimiento_OC!$Y:$Y,MATCH(J80,Seguimiento_OC!$A:$A,0)))))</f>
        <v/>
      </c>
      <c r="L80" s="13"/>
    </row>
    <row r="81" customFormat="false" ht="15" hidden="false" customHeight="false" outlineLevel="0" collapsed="false">
      <c r="A81" s="16"/>
      <c r="B81" s="14" t="str">
        <f aca="false">IF(A81="","",MONTH(A81))</f>
        <v/>
      </c>
      <c r="C81" s="13"/>
      <c r="D81" s="13"/>
      <c r="E81" s="13"/>
      <c r="F81" s="13"/>
      <c r="G81" s="13"/>
      <c r="H81" s="17"/>
      <c r="I81" s="16"/>
      <c r="J81" s="13"/>
      <c r="K81" s="14" t="str">
        <f aca="false">IF(F81="","",IF(J81="","Pendiente OC",IF(COUNTIF(Seguimiento_OC!$A:$A,J81)=0,"OC no registrada",INDEX(Seguimiento_OC!$Y:$Y,MATCH(J81,Seguimiento_OC!$A:$A,0)))))</f>
        <v/>
      </c>
      <c r="L81" s="13"/>
    </row>
    <row r="82" customFormat="false" ht="15" hidden="false" customHeight="false" outlineLevel="0" collapsed="false">
      <c r="A82" s="16"/>
      <c r="B82" s="14" t="str">
        <f aca="false">IF(A82="","",MONTH(A82))</f>
        <v/>
      </c>
      <c r="C82" s="13"/>
      <c r="D82" s="13"/>
      <c r="E82" s="13"/>
      <c r="F82" s="13"/>
      <c r="G82" s="13"/>
      <c r="H82" s="17"/>
      <c r="I82" s="16"/>
      <c r="J82" s="13"/>
      <c r="K82" s="14" t="str">
        <f aca="false">IF(F82="","",IF(J82="","Pendiente OC",IF(COUNTIF(Seguimiento_OC!$A:$A,J82)=0,"OC no registrada",INDEX(Seguimiento_OC!$Y:$Y,MATCH(J82,Seguimiento_OC!$A:$A,0)))))</f>
        <v/>
      </c>
      <c r="L82" s="13"/>
    </row>
    <row r="83" customFormat="false" ht="15" hidden="false" customHeight="false" outlineLevel="0" collapsed="false">
      <c r="A83" s="16"/>
      <c r="B83" s="14" t="str">
        <f aca="false">IF(A83="","",MONTH(A83))</f>
        <v/>
      </c>
      <c r="C83" s="13"/>
      <c r="D83" s="13"/>
      <c r="E83" s="13"/>
      <c r="F83" s="13"/>
      <c r="G83" s="13"/>
      <c r="H83" s="17"/>
      <c r="I83" s="16"/>
      <c r="J83" s="13"/>
      <c r="K83" s="14" t="str">
        <f aca="false">IF(F83="","",IF(J83="","Pendiente OC",IF(COUNTIF(Seguimiento_OC!$A:$A,J83)=0,"OC no registrada",INDEX(Seguimiento_OC!$Y:$Y,MATCH(J83,Seguimiento_OC!$A:$A,0)))))</f>
        <v/>
      </c>
      <c r="L83" s="13"/>
    </row>
    <row r="84" customFormat="false" ht="15" hidden="false" customHeight="false" outlineLevel="0" collapsed="false">
      <c r="A84" s="16"/>
      <c r="B84" s="14" t="str">
        <f aca="false">IF(A84="","",MONTH(A84))</f>
        <v/>
      </c>
      <c r="C84" s="13"/>
      <c r="D84" s="13"/>
      <c r="E84" s="13"/>
      <c r="F84" s="13"/>
      <c r="G84" s="13"/>
      <c r="H84" s="17"/>
      <c r="I84" s="16"/>
      <c r="J84" s="13"/>
      <c r="K84" s="14" t="str">
        <f aca="false">IF(F84="","",IF(J84="","Pendiente OC",IF(COUNTIF(Seguimiento_OC!$A:$A,J84)=0,"OC no registrada",INDEX(Seguimiento_OC!$Y:$Y,MATCH(J84,Seguimiento_OC!$A:$A,0)))))</f>
        <v/>
      </c>
      <c r="L84" s="13"/>
    </row>
    <row r="85" customFormat="false" ht="15" hidden="false" customHeight="false" outlineLevel="0" collapsed="false">
      <c r="A85" s="16"/>
      <c r="B85" s="14" t="str">
        <f aca="false">IF(A85="","",MONTH(A85))</f>
        <v/>
      </c>
      <c r="C85" s="13"/>
      <c r="D85" s="13"/>
      <c r="E85" s="13"/>
      <c r="F85" s="13"/>
      <c r="G85" s="13"/>
      <c r="H85" s="17"/>
      <c r="I85" s="16"/>
      <c r="J85" s="13"/>
      <c r="K85" s="14" t="str">
        <f aca="false">IF(F85="","",IF(J85="","Pendiente OC",IF(COUNTIF(Seguimiento_OC!$A:$A,J85)=0,"OC no registrada",INDEX(Seguimiento_OC!$Y:$Y,MATCH(J85,Seguimiento_OC!$A:$A,0)))))</f>
        <v/>
      </c>
      <c r="L85" s="13"/>
    </row>
    <row r="86" customFormat="false" ht="15" hidden="false" customHeight="false" outlineLevel="0" collapsed="false">
      <c r="A86" s="16"/>
      <c r="B86" s="14" t="str">
        <f aca="false">IF(A86="","",MONTH(A86))</f>
        <v/>
      </c>
      <c r="C86" s="13"/>
      <c r="D86" s="13"/>
      <c r="E86" s="13"/>
      <c r="F86" s="13"/>
      <c r="G86" s="13"/>
      <c r="H86" s="17"/>
      <c r="I86" s="16"/>
      <c r="J86" s="13"/>
      <c r="K86" s="14" t="str">
        <f aca="false">IF(F86="","",IF(J86="","Pendiente OC",IF(COUNTIF(Seguimiento_OC!$A:$A,J86)=0,"OC no registrada",INDEX(Seguimiento_OC!$Y:$Y,MATCH(J86,Seguimiento_OC!$A:$A,0)))))</f>
        <v/>
      </c>
      <c r="L86" s="13"/>
    </row>
    <row r="87" customFormat="false" ht="15" hidden="false" customHeight="false" outlineLevel="0" collapsed="false">
      <c r="A87" s="16"/>
      <c r="B87" s="14" t="str">
        <f aca="false">IF(A87="","",MONTH(A87))</f>
        <v/>
      </c>
      <c r="C87" s="13"/>
      <c r="D87" s="13"/>
      <c r="E87" s="13"/>
      <c r="F87" s="13"/>
      <c r="G87" s="13"/>
      <c r="H87" s="17"/>
      <c r="I87" s="16"/>
      <c r="J87" s="13"/>
      <c r="K87" s="14" t="str">
        <f aca="false">IF(F87="","",IF(J87="","Pendiente OC",IF(COUNTIF(Seguimiento_OC!$A:$A,J87)=0,"OC no registrada",INDEX(Seguimiento_OC!$Y:$Y,MATCH(J87,Seguimiento_OC!$A:$A,0)))))</f>
        <v/>
      </c>
      <c r="L87" s="13"/>
    </row>
    <row r="88" customFormat="false" ht="15" hidden="false" customHeight="false" outlineLevel="0" collapsed="false">
      <c r="A88" s="16"/>
      <c r="B88" s="14" t="str">
        <f aca="false">IF(A88="","",MONTH(A88))</f>
        <v/>
      </c>
      <c r="C88" s="13"/>
      <c r="D88" s="13"/>
      <c r="E88" s="13"/>
      <c r="F88" s="13"/>
      <c r="G88" s="13"/>
      <c r="H88" s="17"/>
      <c r="I88" s="16"/>
      <c r="J88" s="13"/>
      <c r="K88" s="14" t="str">
        <f aca="false">IF(F88="","",IF(J88="","Pendiente OC",IF(COUNTIF(Seguimiento_OC!$A:$A,J88)=0,"OC no registrada",INDEX(Seguimiento_OC!$Y:$Y,MATCH(J88,Seguimiento_OC!$A:$A,0)))))</f>
        <v/>
      </c>
      <c r="L88" s="13"/>
    </row>
    <row r="89" customFormat="false" ht="15" hidden="false" customHeight="false" outlineLevel="0" collapsed="false">
      <c r="A89" s="16"/>
      <c r="B89" s="14" t="str">
        <f aca="false">IF(A89="","",MONTH(A89))</f>
        <v/>
      </c>
      <c r="C89" s="13"/>
      <c r="D89" s="13"/>
      <c r="E89" s="13"/>
      <c r="F89" s="13"/>
      <c r="G89" s="13"/>
      <c r="H89" s="17"/>
      <c r="I89" s="16"/>
      <c r="J89" s="13"/>
      <c r="K89" s="14" t="str">
        <f aca="false">IF(F89="","",IF(J89="","Pendiente OC",IF(COUNTIF(Seguimiento_OC!$A:$A,J89)=0,"OC no registrada",INDEX(Seguimiento_OC!$Y:$Y,MATCH(J89,Seguimiento_OC!$A:$A,0)))))</f>
        <v/>
      </c>
      <c r="L89" s="13"/>
    </row>
    <row r="90" customFormat="false" ht="15" hidden="false" customHeight="false" outlineLevel="0" collapsed="false">
      <c r="A90" s="16"/>
      <c r="B90" s="14" t="str">
        <f aca="false">IF(A90="","",MONTH(A90))</f>
        <v/>
      </c>
      <c r="C90" s="13"/>
      <c r="D90" s="13"/>
      <c r="E90" s="13"/>
      <c r="F90" s="13"/>
      <c r="G90" s="13"/>
      <c r="H90" s="17"/>
      <c r="I90" s="16"/>
      <c r="J90" s="13"/>
      <c r="K90" s="14" t="str">
        <f aca="false">IF(F90="","",IF(J90="","Pendiente OC",IF(COUNTIF(Seguimiento_OC!$A:$A,J90)=0,"OC no registrada",INDEX(Seguimiento_OC!$Y:$Y,MATCH(J90,Seguimiento_OC!$A:$A,0)))))</f>
        <v/>
      </c>
      <c r="L90" s="13"/>
    </row>
    <row r="91" customFormat="false" ht="15" hidden="false" customHeight="false" outlineLevel="0" collapsed="false">
      <c r="A91" s="16"/>
      <c r="B91" s="14" t="str">
        <f aca="false">IF(A91="","",MONTH(A91))</f>
        <v/>
      </c>
      <c r="C91" s="13"/>
      <c r="D91" s="13"/>
      <c r="E91" s="13"/>
      <c r="F91" s="13"/>
      <c r="G91" s="13"/>
      <c r="H91" s="17"/>
      <c r="I91" s="16"/>
      <c r="J91" s="13"/>
      <c r="K91" s="14" t="str">
        <f aca="false">IF(F91="","",IF(J91="","Pendiente OC",IF(COUNTIF(Seguimiento_OC!$A:$A,J91)=0,"OC no registrada",INDEX(Seguimiento_OC!$Y:$Y,MATCH(J91,Seguimiento_OC!$A:$A,0)))))</f>
        <v/>
      </c>
      <c r="L91" s="13"/>
    </row>
    <row r="92" customFormat="false" ht="15" hidden="false" customHeight="false" outlineLevel="0" collapsed="false">
      <c r="A92" s="16"/>
      <c r="B92" s="14" t="str">
        <f aca="false">IF(A92="","",MONTH(A92))</f>
        <v/>
      </c>
      <c r="C92" s="13"/>
      <c r="D92" s="13"/>
      <c r="E92" s="13"/>
      <c r="F92" s="13"/>
      <c r="G92" s="13"/>
      <c r="H92" s="17"/>
      <c r="I92" s="16"/>
      <c r="J92" s="13"/>
      <c r="K92" s="14" t="str">
        <f aca="false">IF(F92="","",IF(J92="","Pendiente OC",IF(COUNTIF(Seguimiento_OC!$A:$A,J92)=0,"OC no registrada",INDEX(Seguimiento_OC!$Y:$Y,MATCH(J92,Seguimiento_OC!$A:$A,0)))))</f>
        <v/>
      </c>
      <c r="L92" s="13"/>
    </row>
    <row r="93" customFormat="false" ht="15" hidden="false" customHeight="false" outlineLevel="0" collapsed="false">
      <c r="A93" s="16"/>
      <c r="B93" s="14" t="str">
        <f aca="false">IF(A93="","",MONTH(A93))</f>
        <v/>
      </c>
      <c r="C93" s="13"/>
      <c r="D93" s="13"/>
      <c r="E93" s="13"/>
      <c r="F93" s="13"/>
      <c r="G93" s="13"/>
      <c r="H93" s="17"/>
      <c r="I93" s="16"/>
      <c r="J93" s="13"/>
      <c r="K93" s="14" t="str">
        <f aca="false">IF(F93="","",IF(J93="","Pendiente OC",IF(COUNTIF(Seguimiento_OC!$A:$A,J93)=0,"OC no registrada",INDEX(Seguimiento_OC!$Y:$Y,MATCH(J93,Seguimiento_OC!$A:$A,0)))))</f>
        <v/>
      </c>
      <c r="L93" s="13"/>
    </row>
    <row r="94" customFormat="false" ht="15" hidden="false" customHeight="false" outlineLevel="0" collapsed="false">
      <c r="A94" s="16"/>
      <c r="B94" s="14" t="str">
        <f aca="false">IF(A94="","",MONTH(A94))</f>
        <v/>
      </c>
      <c r="C94" s="13"/>
      <c r="D94" s="13"/>
      <c r="E94" s="13"/>
      <c r="F94" s="13"/>
      <c r="G94" s="13"/>
      <c r="H94" s="17"/>
      <c r="I94" s="16"/>
      <c r="J94" s="13"/>
      <c r="K94" s="14" t="str">
        <f aca="false">IF(F94="","",IF(J94="","Pendiente OC",IF(COUNTIF(Seguimiento_OC!$A:$A,J94)=0,"OC no registrada",INDEX(Seguimiento_OC!$Y:$Y,MATCH(J94,Seguimiento_OC!$A:$A,0)))))</f>
        <v/>
      </c>
      <c r="L94" s="13"/>
    </row>
    <row r="95" customFormat="false" ht="15" hidden="false" customHeight="false" outlineLevel="0" collapsed="false">
      <c r="A95" s="16"/>
      <c r="B95" s="14" t="str">
        <f aca="false">IF(A95="","",MONTH(A95))</f>
        <v/>
      </c>
      <c r="C95" s="13"/>
      <c r="D95" s="13"/>
      <c r="E95" s="13"/>
      <c r="F95" s="13"/>
      <c r="G95" s="13"/>
      <c r="H95" s="17"/>
      <c r="I95" s="16"/>
      <c r="J95" s="13"/>
      <c r="K95" s="14" t="str">
        <f aca="false">IF(F95="","",IF(J95="","Pendiente OC",IF(COUNTIF(Seguimiento_OC!$A:$A,J95)=0,"OC no registrada",INDEX(Seguimiento_OC!$Y:$Y,MATCH(J95,Seguimiento_OC!$A:$A,0)))))</f>
        <v/>
      </c>
      <c r="L95" s="13"/>
    </row>
    <row r="96" customFormat="false" ht="15" hidden="false" customHeight="false" outlineLevel="0" collapsed="false">
      <c r="A96" s="16"/>
      <c r="B96" s="14" t="str">
        <f aca="false">IF(A96="","",MONTH(A96))</f>
        <v/>
      </c>
      <c r="C96" s="13"/>
      <c r="D96" s="13"/>
      <c r="E96" s="13"/>
      <c r="F96" s="13"/>
      <c r="G96" s="13"/>
      <c r="H96" s="17"/>
      <c r="I96" s="16"/>
      <c r="J96" s="13"/>
      <c r="K96" s="14" t="str">
        <f aca="false">IF(F96="","",IF(J96="","Pendiente OC",IF(COUNTIF(Seguimiento_OC!$A:$A,J96)=0,"OC no registrada",INDEX(Seguimiento_OC!$Y:$Y,MATCH(J96,Seguimiento_OC!$A:$A,0)))))</f>
        <v/>
      </c>
      <c r="L96" s="13"/>
    </row>
    <row r="97" customFormat="false" ht="15" hidden="false" customHeight="false" outlineLevel="0" collapsed="false">
      <c r="A97" s="16"/>
      <c r="B97" s="14" t="str">
        <f aca="false">IF(A97="","",MONTH(A97))</f>
        <v/>
      </c>
      <c r="C97" s="13"/>
      <c r="D97" s="13"/>
      <c r="E97" s="13"/>
      <c r="F97" s="13"/>
      <c r="G97" s="13"/>
      <c r="H97" s="17"/>
      <c r="I97" s="16"/>
      <c r="J97" s="13"/>
      <c r="K97" s="14" t="str">
        <f aca="false">IF(F97="","",IF(J97="","Pendiente OC",IF(COUNTIF(Seguimiento_OC!$A:$A,J97)=0,"OC no registrada",INDEX(Seguimiento_OC!$Y:$Y,MATCH(J97,Seguimiento_OC!$A:$A,0)))))</f>
        <v/>
      </c>
      <c r="L97" s="13"/>
    </row>
    <row r="98" customFormat="false" ht="15" hidden="false" customHeight="false" outlineLevel="0" collapsed="false">
      <c r="A98" s="16"/>
      <c r="B98" s="14" t="str">
        <f aca="false">IF(A98="","",MONTH(A98))</f>
        <v/>
      </c>
      <c r="C98" s="13"/>
      <c r="D98" s="13"/>
      <c r="E98" s="13"/>
      <c r="F98" s="13"/>
      <c r="G98" s="13"/>
      <c r="H98" s="17"/>
      <c r="I98" s="16"/>
      <c r="J98" s="13"/>
      <c r="K98" s="14" t="str">
        <f aca="false">IF(F98="","",IF(J98="","Pendiente OC",IF(COUNTIF(Seguimiento_OC!$A:$A,J98)=0,"OC no registrada",INDEX(Seguimiento_OC!$Y:$Y,MATCH(J98,Seguimiento_OC!$A:$A,0)))))</f>
        <v/>
      </c>
      <c r="L98" s="13"/>
    </row>
    <row r="99" customFormat="false" ht="15" hidden="false" customHeight="false" outlineLevel="0" collapsed="false">
      <c r="A99" s="16"/>
      <c r="B99" s="14" t="str">
        <f aca="false">IF(A99="","",MONTH(A99))</f>
        <v/>
      </c>
      <c r="C99" s="13"/>
      <c r="D99" s="13"/>
      <c r="E99" s="13"/>
      <c r="F99" s="13"/>
      <c r="G99" s="13"/>
      <c r="H99" s="17"/>
      <c r="I99" s="16"/>
      <c r="J99" s="13"/>
      <c r="K99" s="14" t="str">
        <f aca="false">IF(F99="","",IF(J99="","Pendiente OC",IF(COUNTIF(Seguimiento_OC!$A:$A,J99)=0,"OC no registrada",INDEX(Seguimiento_OC!$Y:$Y,MATCH(J99,Seguimiento_OC!$A:$A,0)))))</f>
        <v/>
      </c>
      <c r="L99" s="13"/>
    </row>
    <row r="100" customFormat="false" ht="15" hidden="false" customHeight="false" outlineLevel="0" collapsed="false">
      <c r="A100" s="16"/>
      <c r="B100" s="14" t="str">
        <f aca="false">IF(A100="","",MONTH(A100))</f>
        <v/>
      </c>
      <c r="C100" s="13"/>
      <c r="D100" s="13"/>
      <c r="E100" s="13"/>
      <c r="F100" s="13"/>
      <c r="G100" s="13"/>
      <c r="H100" s="17"/>
      <c r="I100" s="16"/>
      <c r="J100" s="13"/>
      <c r="K100" s="14" t="str">
        <f aca="false">IF(F100="","",IF(J100="","Pendiente OC",IF(COUNTIF(Seguimiento_OC!$A:$A,J100)=0,"OC no registrada",INDEX(Seguimiento_OC!$Y:$Y,MATCH(J100,Seguimiento_OC!$A:$A,0)))))</f>
        <v/>
      </c>
      <c r="L100" s="13"/>
    </row>
    <row r="101" customFormat="false" ht="15" hidden="false" customHeight="false" outlineLevel="0" collapsed="false">
      <c r="A101" s="16"/>
      <c r="B101" s="14" t="str">
        <f aca="false">IF(A101="","",MONTH(A101))</f>
        <v/>
      </c>
      <c r="C101" s="13"/>
      <c r="D101" s="13"/>
      <c r="E101" s="13"/>
      <c r="F101" s="13"/>
      <c r="G101" s="13"/>
      <c r="H101" s="17"/>
      <c r="I101" s="16"/>
      <c r="J101" s="13"/>
      <c r="K101" s="14" t="str">
        <f aca="false">IF(F101="","",IF(J101="","Pendiente OC",IF(COUNTIF(Seguimiento_OC!$A:$A,J101)=0,"OC no registrada",INDEX(Seguimiento_OC!$Y:$Y,MATCH(J101,Seguimiento_OC!$A:$A,0)))))</f>
        <v/>
      </c>
      <c r="L101" s="13"/>
    </row>
    <row r="102" customFormat="false" ht="15" hidden="false" customHeight="false" outlineLevel="0" collapsed="false">
      <c r="A102" s="16"/>
      <c r="B102" s="14" t="str">
        <f aca="false">IF(A102="","",MONTH(A102))</f>
        <v/>
      </c>
      <c r="C102" s="13"/>
      <c r="D102" s="13"/>
      <c r="E102" s="13"/>
      <c r="F102" s="13"/>
      <c r="G102" s="13"/>
      <c r="H102" s="17"/>
      <c r="I102" s="16"/>
      <c r="J102" s="13"/>
      <c r="K102" s="14" t="str">
        <f aca="false">IF(F102="","",IF(J102="","Pendiente OC",IF(COUNTIF(Seguimiento_OC!$A:$A,J102)=0,"OC no registrada",INDEX(Seguimiento_OC!$Y:$Y,MATCH(J102,Seguimiento_OC!$A:$A,0)))))</f>
        <v/>
      </c>
      <c r="L102" s="13"/>
    </row>
    <row r="103" customFormat="false" ht="15" hidden="false" customHeight="false" outlineLevel="0" collapsed="false">
      <c r="A103" s="16"/>
      <c r="B103" s="14" t="str">
        <f aca="false">IF(A103="","",MONTH(A103))</f>
        <v/>
      </c>
      <c r="C103" s="13"/>
      <c r="D103" s="13"/>
      <c r="E103" s="13"/>
      <c r="F103" s="13"/>
      <c r="G103" s="13"/>
      <c r="H103" s="17"/>
      <c r="I103" s="16"/>
      <c r="J103" s="13"/>
      <c r="K103" s="14" t="str">
        <f aca="false">IF(F103="","",IF(J103="","Pendiente OC",IF(COUNTIF(Seguimiento_OC!$A:$A,J103)=0,"OC no registrada",INDEX(Seguimiento_OC!$Y:$Y,MATCH(J103,Seguimiento_OC!$A:$A,0)))))</f>
        <v/>
      </c>
      <c r="L103" s="13"/>
    </row>
    <row r="104" customFormat="false" ht="15" hidden="false" customHeight="false" outlineLevel="0" collapsed="false">
      <c r="A104" s="16"/>
      <c r="B104" s="14" t="str">
        <f aca="false">IF(A104="","",MONTH(A104))</f>
        <v/>
      </c>
      <c r="C104" s="13"/>
      <c r="D104" s="13"/>
      <c r="E104" s="13"/>
      <c r="F104" s="13"/>
      <c r="G104" s="13"/>
      <c r="H104" s="17"/>
      <c r="I104" s="16"/>
      <c r="J104" s="13"/>
      <c r="K104" s="14" t="str">
        <f aca="false">IF(F104="","",IF(J104="","Pendiente OC",IF(COUNTIF(Seguimiento_OC!$A:$A,J104)=0,"OC no registrada",INDEX(Seguimiento_OC!$Y:$Y,MATCH(J104,Seguimiento_OC!$A:$A,0)))))</f>
        <v/>
      </c>
      <c r="L104" s="13"/>
    </row>
    <row r="105" customFormat="false" ht="15" hidden="false" customHeight="false" outlineLevel="0" collapsed="false">
      <c r="A105" s="16"/>
      <c r="B105" s="14" t="str">
        <f aca="false">IF(A105="","",MONTH(A105))</f>
        <v/>
      </c>
      <c r="C105" s="13"/>
      <c r="D105" s="13"/>
      <c r="E105" s="13"/>
      <c r="F105" s="13"/>
      <c r="G105" s="13"/>
      <c r="H105" s="17"/>
      <c r="I105" s="16"/>
      <c r="J105" s="13"/>
      <c r="K105" s="14" t="str">
        <f aca="false">IF(F105="","",IF(J105="","Pendiente OC",IF(COUNTIF(Seguimiento_OC!$A:$A,J105)=0,"OC no registrada",INDEX(Seguimiento_OC!$Y:$Y,MATCH(J105,Seguimiento_OC!$A:$A,0)))))</f>
        <v/>
      </c>
      <c r="L105" s="13"/>
    </row>
    <row r="106" customFormat="false" ht="15" hidden="false" customHeight="false" outlineLevel="0" collapsed="false">
      <c r="A106" s="16"/>
      <c r="B106" s="14" t="str">
        <f aca="false">IF(A106="","",MONTH(A106))</f>
        <v/>
      </c>
      <c r="C106" s="13"/>
      <c r="D106" s="13"/>
      <c r="E106" s="13"/>
      <c r="F106" s="13"/>
      <c r="G106" s="13"/>
      <c r="H106" s="17"/>
      <c r="I106" s="16"/>
      <c r="J106" s="13"/>
      <c r="K106" s="14" t="str">
        <f aca="false">IF(F106="","",IF(J106="","Pendiente OC",IF(COUNTIF(Seguimiento_OC!$A:$A,J106)=0,"OC no registrada",INDEX(Seguimiento_OC!$Y:$Y,MATCH(J106,Seguimiento_OC!$A:$A,0)))))</f>
        <v/>
      </c>
      <c r="L106" s="13"/>
    </row>
    <row r="107" customFormat="false" ht="15" hidden="false" customHeight="false" outlineLevel="0" collapsed="false">
      <c r="A107" s="16"/>
      <c r="B107" s="14" t="str">
        <f aca="false">IF(A107="","",MONTH(A107))</f>
        <v/>
      </c>
      <c r="C107" s="13"/>
      <c r="D107" s="13"/>
      <c r="E107" s="13"/>
      <c r="F107" s="13"/>
      <c r="G107" s="13"/>
      <c r="H107" s="17"/>
      <c r="I107" s="16"/>
      <c r="J107" s="13"/>
      <c r="K107" s="14" t="str">
        <f aca="false">IF(F107="","",IF(J107="","Pendiente OC",IF(COUNTIF(Seguimiento_OC!$A:$A,J107)=0,"OC no registrada",INDEX(Seguimiento_OC!$Y:$Y,MATCH(J107,Seguimiento_OC!$A:$A,0)))))</f>
        <v/>
      </c>
      <c r="L107" s="13"/>
    </row>
    <row r="108" customFormat="false" ht="15" hidden="false" customHeight="false" outlineLevel="0" collapsed="false">
      <c r="A108" s="16"/>
      <c r="B108" s="14" t="str">
        <f aca="false">IF(A108="","",MONTH(A108))</f>
        <v/>
      </c>
      <c r="C108" s="13"/>
      <c r="D108" s="13"/>
      <c r="E108" s="13"/>
      <c r="F108" s="13"/>
      <c r="G108" s="13"/>
      <c r="H108" s="17"/>
      <c r="I108" s="16"/>
      <c r="J108" s="13"/>
      <c r="K108" s="14" t="str">
        <f aca="false">IF(F108="","",IF(J108="","Pendiente OC",IF(COUNTIF(Seguimiento_OC!$A:$A,J108)=0,"OC no registrada",INDEX(Seguimiento_OC!$Y:$Y,MATCH(J108,Seguimiento_OC!$A:$A,0)))))</f>
        <v/>
      </c>
      <c r="L108" s="13"/>
    </row>
    <row r="109" customFormat="false" ht="15" hidden="false" customHeight="false" outlineLevel="0" collapsed="false">
      <c r="A109" s="16"/>
      <c r="B109" s="14" t="str">
        <f aca="false">IF(A109="","",MONTH(A109))</f>
        <v/>
      </c>
      <c r="C109" s="13"/>
      <c r="D109" s="13"/>
      <c r="E109" s="13"/>
      <c r="F109" s="13"/>
      <c r="G109" s="13"/>
      <c r="H109" s="17"/>
      <c r="I109" s="16"/>
      <c r="J109" s="13"/>
      <c r="K109" s="14" t="str">
        <f aca="false">IF(F109="","",IF(J109="","Pendiente OC",IF(COUNTIF(Seguimiento_OC!$A:$A,J109)=0,"OC no registrada",INDEX(Seguimiento_OC!$Y:$Y,MATCH(J109,Seguimiento_OC!$A:$A,0)))))</f>
        <v/>
      </c>
      <c r="L109" s="13"/>
    </row>
    <row r="110" customFormat="false" ht="15" hidden="false" customHeight="false" outlineLevel="0" collapsed="false">
      <c r="A110" s="16"/>
      <c r="B110" s="14" t="str">
        <f aca="false">IF(A110="","",MONTH(A110))</f>
        <v/>
      </c>
      <c r="C110" s="13"/>
      <c r="D110" s="13"/>
      <c r="E110" s="13"/>
      <c r="F110" s="13"/>
      <c r="G110" s="13"/>
      <c r="H110" s="17"/>
      <c r="I110" s="16"/>
      <c r="J110" s="13"/>
      <c r="K110" s="14" t="str">
        <f aca="false">IF(F110="","",IF(J110="","Pendiente OC",IF(COUNTIF(Seguimiento_OC!$A:$A,J110)=0,"OC no registrada",INDEX(Seguimiento_OC!$Y:$Y,MATCH(J110,Seguimiento_OC!$A:$A,0)))))</f>
        <v/>
      </c>
      <c r="L110" s="13"/>
    </row>
    <row r="111" customFormat="false" ht="15" hidden="false" customHeight="false" outlineLevel="0" collapsed="false">
      <c r="A111" s="16"/>
      <c r="B111" s="14" t="str">
        <f aca="false">IF(A111="","",MONTH(A111))</f>
        <v/>
      </c>
      <c r="C111" s="13"/>
      <c r="D111" s="13"/>
      <c r="E111" s="13"/>
      <c r="F111" s="13"/>
      <c r="G111" s="13"/>
      <c r="H111" s="17"/>
      <c r="I111" s="16"/>
      <c r="J111" s="13"/>
      <c r="K111" s="14" t="str">
        <f aca="false">IF(F111="","",IF(J111="","Pendiente OC",IF(COUNTIF(Seguimiento_OC!$A:$A,J111)=0,"OC no registrada",INDEX(Seguimiento_OC!$Y:$Y,MATCH(J111,Seguimiento_OC!$A:$A,0)))))</f>
        <v/>
      </c>
      <c r="L111" s="13"/>
    </row>
    <row r="112" customFormat="false" ht="15" hidden="false" customHeight="false" outlineLevel="0" collapsed="false">
      <c r="A112" s="16"/>
      <c r="B112" s="14" t="str">
        <f aca="false">IF(A112="","",MONTH(A112))</f>
        <v/>
      </c>
      <c r="C112" s="13"/>
      <c r="D112" s="13"/>
      <c r="E112" s="13"/>
      <c r="F112" s="13"/>
      <c r="G112" s="13"/>
      <c r="H112" s="17"/>
      <c r="I112" s="16"/>
      <c r="J112" s="13"/>
      <c r="K112" s="14" t="str">
        <f aca="false">IF(F112="","",IF(J112="","Pendiente OC",IF(COUNTIF(Seguimiento_OC!$A:$A,J112)=0,"OC no registrada",INDEX(Seguimiento_OC!$Y:$Y,MATCH(J112,Seguimiento_OC!$A:$A,0)))))</f>
        <v/>
      </c>
      <c r="L112" s="13"/>
    </row>
    <row r="113" customFormat="false" ht="15" hidden="false" customHeight="false" outlineLevel="0" collapsed="false">
      <c r="A113" s="16"/>
      <c r="B113" s="14" t="str">
        <f aca="false">IF(A113="","",MONTH(A113))</f>
        <v/>
      </c>
      <c r="C113" s="13"/>
      <c r="D113" s="13"/>
      <c r="E113" s="13"/>
      <c r="F113" s="13"/>
      <c r="G113" s="13"/>
      <c r="H113" s="17"/>
      <c r="I113" s="16"/>
      <c r="J113" s="13"/>
      <c r="K113" s="14" t="str">
        <f aca="false">IF(F113="","",IF(J113="","Pendiente OC",IF(COUNTIF(Seguimiento_OC!$A:$A,J113)=0,"OC no registrada",INDEX(Seguimiento_OC!$Y:$Y,MATCH(J113,Seguimiento_OC!$A:$A,0)))))</f>
        <v/>
      </c>
      <c r="L113" s="13"/>
    </row>
    <row r="114" customFormat="false" ht="15" hidden="false" customHeight="false" outlineLevel="0" collapsed="false">
      <c r="A114" s="16"/>
      <c r="B114" s="14" t="str">
        <f aca="false">IF(A114="","",MONTH(A114))</f>
        <v/>
      </c>
      <c r="C114" s="13"/>
      <c r="D114" s="13"/>
      <c r="E114" s="13"/>
      <c r="F114" s="13"/>
      <c r="G114" s="13"/>
      <c r="H114" s="17"/>
      <c r="I114" s="16"/>
      <c r="J114" s="13"/>
      <c r="K114" s="14" t="str">
        <f aca="false">IF(F114="","",IF(J114="","Pendiente OC",IF(COUNTIF(Seguimiento_OC!$A:$A,J114)=0,"OC no registrada",INDEX(Seguimiento_OC!$Y:$Y,MATCH(J114,Seguimiento_OC!$A:$A,0)))))</f>
        <v/>
      </c>
      <c r="L114" s="13"/>
    </row>
    <row r="115" customFormat="false" ht="15" hidden="false" customHeight="false" outlineLevel="0" collapsed="false">
      <c r="A115" s="16"/>
      <c r="B115" s="14" t="str">
        <f aca="false">IF(A115="","",MONTH(A115))</f>
        <v/>
      </c>
      <c r="C115" s="13"/>
      <c r="D115" s="13"/>
      <c r="E115" s="13"/>
      <c r="F115" s="13"/>
      <c r="G115" s="13"/>
      <c r="H115" s="17"/>
      <c r="I115" s="16"/>
      <c r="J115" s="13"/>
      <c r="K115" s="14" t="str">
        <f aca="false">IF(F115="","",IF(J115="","Pendiente OC",IF(COUNTIF(Seguimiento_OC!$A:$A,J115)=0,"OC no registrada",INDEX(Seguimiento_OC!$Y:$Y,MATCH(J115,Seguimiento_OC!$A:$A,0)))))</f>
        <v/>
      </c>
      <c r="L115" s="13"/>
    </row>
    <row r="116" customFormat="false" ht="15" hidden="false" customHeight="false" outlineLevel="0" collapsed="false">
      <c r="A116" s="16"/>
      <c r="B116" s="14" t="str">
        <f aca="false">IF(A116="","",MONTH(A116))</f>
        <v/>
      </c>
      <c r="C116" s="13"/>
      <c r="D116" s="13"/>
      <c r="E116" s="13"/>
      <c r="F116" s="13"/>
      <c r="G116" s="13"/>
      <c r="H116" s="17"/>
      <c r="I116" s="16"/>
      <c r="J116" s="13"/>
      <c r="K116" s="14" t="str">
        <f aca="false">IF(F116="","",IF(J116="","Pendiente OC",IF(COUNTIF(Seguimiento_OC!$A:$A,J116)=0,"OC no registrada",INDEX(Seguimiento_OC!$Y:$Y,MATCH(J116,Seguimiento_OC!$A:$A,0)))))</f>
        <v/>
      </c>
      <c r="L116" s="13"/>
    </row>
    <row r="117" customFormat="false" ht="15" hidden="false" customHeight="false" outlineLevel="0" collapsed="false">
      <c r="A117" s="16"/>
      <c r="B117" s="14" t="str">
        <f aca="false">IF(A117="","",MONTH(A117))</f>
        <v/>
      </c>
      <c r="C117" s="13"/>
      <c r="D117" s="13"/>
      <c r="E117" s="13"/>
      <c r="F117" s="13"/>
      <c r="G117" s="13"/>
      <c r="H117" s="17"/>
      <c r="I117" s="16"/>
      <c r="J117" s="13"/>
      <c r="K117" s="14" t="str">
        <f aca="false">IF(F117="","",IF(J117="","Pendiente OC",IF(COUNTIF(Seguimiento_OC!$A:$A,J117)=0,"OC no registrada",INDEX(Seguimiento_OC!$Y:$Y,MATCH(J117,Seguimiento_OC!$A:$A,0)))))</f>
        <v/>
      </c>
      <c r="L117" s="13"/>
    </row>
    <row r="118" customFormat="false" ht="15" hidden="false" customHeight="false" outlineLevel="0" collapsed="false">
      <c r="A118" s="16"/>
      <c r="B118" s="14" t="str">
        <f aca="false">IF(A118="","",MONTH(A118))</f>
        <v/>
      </c>
      <c r="C118" s="13"/>
      <c r="D118" s="13"/>
      <c r="E118" s="13"/>
      <c r="F118" s="13"/>
      <c r="G118" s="13"/>
      <c r="H118" s="17"/>
      <c r="I118" s="16"/>
      <c r="J118" s="13"/>
      <c r="K118" s="14" t="str">
        <f aca="false">IF(F118="","",IF(J118="","Pendiente OC",IF(COUNTIF(Seguimiento_OC!$A:$A,J118)=0,"OC no registrada",INDEX(Seguimiento_OC!$Y:$Y,MATCH(J118,Seguimiento_OC!$A:$A,0)))))</f>
        <v/>
      </c>
      <c r="L118" s="13"/>
    </row>
    <row r="119" customFormat="false" ht="15" hidden="false" customHeight="false" outlineLevel="0" collapsed="false">
      <c r="A119" s="16"/>
      <c r="B119" s="14" t="str">
        <f aca="false">IF(A119="","",MONTH(A119))</f>
        <v/>
      </c>
      <c r="C119" s="13"/>
      <c r="D119" s="13"/>
      <c r="E119" s="13"/>
      <c r="F119" s="13"/>
      <c r="G119" s="13"/>
      <c r="H119" s="17"/>
      <c r="I119" s="16"/>
      <c r="J119" s="13"/>
      <c r="K119" s="14" t="str">
        <f aca="false">IF(F119="","",IF(J119="","Pendiente OC",IF(COUNTIF(Seguimiento_OC!$A:$A,J119)=0,"OC no registrada",INDEX(Seguimiento_OC!$Y:$Y,MATCH(J119,Seguimiento_OC!$A:$A,0)))))</f>
        <v/>
      </c>
      <c r="L119" s="13"/>
    </row>
    <row r="120" customFormat="false" ht="15" hidden="false" customHeight="false" outlineLevel="0" collapsed="false">
      <c r="A120" s="16"/>
      <c r="B120" s="14" t="str">
        <f aca="false">IF(A120="","",MONTH(A120))</f>
        <v/>
      </c>
      <c r="C120" s="13"/>
      <c r="D120" s="13"/>
      <c r="E120" s="13"/>
      <c r="F120" s="13"/>
      <c r="G120" s="13"/>
      <c r="H120" s="17"/>
      <c r="I120" s="16"/>
      <c r="J120" s="13"/>
      <c r="K120" s="14" t="str">
        <f aca="false">IF(F120="","",IF(J120="","Pendiente OC",IF(COUNTIF(Seguimiento_OC!$A:$A,J120)=0,"OC no registrada",INDEX(Seguimiento_OC!$Y:$Y,MATCH(J120,Seguimiento_OC!$A:$A,0)))))</f>
        <v/>
      </c>
      <c r="L120" s="13"/>
    </row>
    <row r="121" customFormat="false" ht="15" hidden="false" customHeight="false" outlineLevel="0" collapsed="false">
      <c r="A121" s="16"/>
      <c r="B121" s="14" t="str">
        <f aca="false">IF(A121="","",MONTH(A121))</f>
        <v/>
      </c>
      <c r="C121" s="13"/>
      <c r="D121" s="13"/>
      <c r="E121" s="13"/>
      <c r="F121" s="13"/>
      <c r="G121" s="13"/>
      <c r="H121" s="17"/>
      <c r="I121" s="16"/>
      <c r="J121" s="13"/>
      <c r="K121" s="14" t="str">
        <f aca="false">IF(F121="","",IF(J121="","Pendiente OC",IF(COUNTIF(Seguimiento_OC!$A:$A,J121)=0,"OC no registrada",INDEX(Seguimiento_OC!$Y:$Y,MATCH(J121,Seguimiento_OC!$A:$A,0)))))</f>
        <v/>
      </c>
      <c r="L121" s="13"/>
    </row>
    <row r="122" customFormat="false" ht="15" hidden="false" customHeight="false" outlineLevel="0" collapsed="false">
      <c r="A122" s="16"/>
      <c r="B122" s="14" t="str">
        <f aca="false">IF(A122="","",MONTH(A122))</f>
        <v/>
      </c>
      <c r="C122" s="13"/>
      <c r="D122" s="13"/>
      <c r="E122" s="13"/>
      <c r="F122" s="13"/>
      <c r="G122" s="13"/>
      <c r="H122" s="17"/>
      <c r="I122" s="16"/>
      <c r="J122" s="13"/>
      <c r="K122" s="14" t="str">
        <f aca="false">IF(F122="","",IF(J122="","Pendiente OC",IF(COUNTIF(Seguimiento_OC!$A:$A,J122)=0,"OC no registrada",INDEX(Seguimiento_OC!$Y:$Y,MATCH(J122,Seguimiento_OC!$A:$A,0)))))</f>
        <v/>
      </c>
      <c r="L122" s="13"/>
    </row>
    <row r="123" customFormat="false" ht="15" hidden="false" customHeight="false" outlineLevel="0" collapsed="false">
      <c r="A123" s="16"/>
      <c r="B123" s="14" t="str">
        <f aca="false">IF(A123="","",MONTH(A123))</f>
        <v/>
      </c>
      <c r="C123" s="13"/>
      <c r="D123" s="13"/>
      <c r="E123" s="13"/>
      <c r="F123" s="13"/>
      <c r="G123" s="13"/>
      <c r="H123" s="17"/>
      <c r="I123" s="16"/>
      <c r="J123" s="13"/>
      <c r="K123" s="14" t="str">
        <f aca="false">IF(F123="","",IF(J123="","Pendiente OC",IF(COUNTIF(Seguimiento_OC!$A:$A,J123)=0,"OC no registrada",INDEX(Seguimiento_OC!$Y:$Y,MATCH(J123,Seguimiento_OC!$A:$A,0)))))</f>
        <v/>
      </c>
      <c r="L123" s="13"/>
    </row>
    <row r="124" customFormat="false" ht="15" hidden="false" customHeight="false" outlineLevel="0" collapsed="false">
      <c r="A124" s="16"/>
      <c r="B124" s="14" t="str">
        <f aca="false">IF(A124="","",MONTH(A124))</f>
        <v/>
      </c>
      <c r="C124" s="13"/>
      <c r="D124" s="13"/>
      <c r="E124" s="13"/>
      <c r="F124" s="13"/>
      <c r="G124" s="13"/>
      <c r="H124" s="17"/>
      <c r="I124" s="16"/>
      <c r="J124" s="13"/>
      <c r="K124" s="14" t="str">
        <f aca="false">IF(F124="","",IF(J124="","Pendiente OC",IF(COUNTIF(Seguimiento_OC!$A:$A,J124)=0,"OC no registrada",INDEX(Seguimiento_OC!$Y:$Y,MATCH(J124,Seguimiento_OC!$A:$A,0)))))</f>
        <v/>
      </c>
      <c r="L124" s="13"/>
    </row>
    <row r="125" customFormat="false" ht="15" hidden="false" customHeight="false" outlineLevel="0" collapsed="false">
      <c r="A125" s="16"/>
      <c r="B125" s="14" t="str">
        <f aca="false">IF(A125="","",MONTH(A125))</f>
        <v/>
      </c>
      <c r="C125" s="13"/>
      <c r="D125" s="13"/>
      <c r="E125" s="13"/>
      <c r="F125" s="13"/>
      <c r="G125" s="13"/>
      <c r="H125" s="17"/>
      <c r="I125" s="16"/>
      <c r="J125" s="13"/>
      <c r="K125" s="14" t="str">
        <f aca="false">IF(F125="","",IF(J125="","Pendiente OC",IF(COUNTIF(Seguimiento_OC!$A:$A,J125)=0,"OC no registrada",INDEX(Seguimiento_OC!$Y:$Y,MATCH(J125,Seguimiento_OC!$A:$A,0)))))</f>
        <v/>
      </c>
      <c r="L125" s="13"/>
    </row>
    <row r="126" customFormat="false" ht="15" hidden="false" customHeight="false" outlineLevel="0" collapsed="false">
      <c r="A126" s="16"/>
      <c r="B126" s="14" t="str">
        <f aca="false">IF(A126="","",MONTH(A126))</f>
        <v/>
      </c>
      <c r="C126" s="13"/>
      <c r="D126" s="13"/>
      <c r="E126" s="13"/>
      <c r="F126" s="13"/>
      <c r="G126" s="13"/>
      <c r="H126" s="17"/>
      <c r="I126" s="16"/>
      <c r="J126" s="13"/>
      <c r="K126" s="14" t="str">
        <f aca="false">IF(F126="","",IF(J126="","Pendiente OC",IF(COUNTIF(Seguimiento_OC!$A:$A,J126)=0,"OC no registrada",INDEX(Seguimiento_OC!$Y:$Y,MATCH(J126,Seguimiento_OC!$A:$A,0)))))</f>
        <v/>
      </c>
      <c r="L126" s="13"/>
    </row>
    <row r="127" customFormat="false" ht="15" hidden="false" customHeight="false" outlineLevel="0" collapsed="false">
      <c r="A127" s="16"/>
      <c r="B127" s="14" t="str">
        <f aca="false">IF(A127="","",MONTH(A127))</f>
        <v/>
      </c>
      <c r="C127" s="13"/>
      <c r="D127" s="13"/>
      <c r="E127" s="13"/>
      <c r="F127" s="13"/>
      <c r="G127" s="13"/>
      <c r="H127" s="17"/>
      <c r="I127" s="16"/>
      <c r="J127" s="13"/>
      <c r="K127" s="14" t="str">
        <f aca="false">IF(F127="","",IF(J127="","Pendiente OC",IF(COUNTIF(Seguimiento_OC!$A:$A,J127)=0,"OC no registrada",INDEX(Seguimiento_OC!$Y:$Y,MATCH(J127,Seguimiento_OC!$A:$A,0)))))</f>
        <v/>
      </c>
      <c r="L127" s="13"/>
    </row>
    <row r="128" customFormat="false" ht="15" hidden="false" customHeight="false" outlineLevel="0" collapsed="false">
      <c r="A128" s="16"/>
      <c r="B128" s="14" t="str">
        <f aca="false">IF(A128="","",MONTH(A128))</f>
        <v/>
      </c>
      <c r="C128" s="13"/>
      <c r="D128" s="13"/>
      <c r="E128" s="13"/>
      <c r="F128" s="13"/>
      <c r="G128" s="13"/>
      <c r="H128" s="17"/>
      <c r="I128" s="16"/>
      <c r="J128" s="13"/>
      <c r="K128" s="14" t="str">
        <f aca="false">IF(F128="","",IF(J128="","Pendiente OC",IF(COUNTIF(Seguimiento_OC!$A:$A,J128)=0,"OC no registrada",INDEX(Seguimiento_OC!$Y:$Y,MATCH(J128,Seguimiento_OC!$A:$A,0)))))</f>
        <v/>
      </c>
      <c r="L128" s="13"/>
    </row>
    <row r="129" customFormat="false" ht="15" hidden="false" customHeight="false" outlineLevel="0" collapsed="false">
      <c r="A129" s="16"/>
      <c r="B129" s="14" t="str">
        <f aca="false">IF(A129="","",MONTH(A129))</f>
        <v/>
      </c>
      <c r="C129" s="13"/>
      <c r="D129" s="13"/>
      <c r="E129" s="13"/>
      <c r="F129" s="13"/>
      <c r="G129" s="13"/>
      <c r="H129" s="17"/>
      <c r="I129" s="16"/>
      <c r="J129" s="13"/>
      <c r="K129" s="14" t="str">
        <f aca="false">IF(F129="","",IF(J129="","Pendiente OC",IF(COUNTIF(Seguimiento_OC!$A:$A,J129)=0,"OC no registrada",INDEX(Seguimiento_OC!$Y:$Y,MATCH(J129,Seguimiento_OC!$A:$A,0)))))</f>
        <v/>
      </c>
      <c r="L129" s="13"/>
    </row>
    <row r="130" customFormat="false" ht="15" hidden="false" customHeight="false" outlineLevel="0" collapsed="false">
      <c r="A130" s="16"/>
      <c r="B130" s="14" t="str">
        <f aca="false">IF(A130="","",MONTH(A130))</f>
        <v/>
      </c>
      <c r="C130" s="13"/>
      <c r="D130" s="13"/>
      <c r="E130" s="13"/>
      <c r="F130" s="13"/>
      <c r="G130" s="13"/>
      <c r="H130" s="17"/>
      <c r="I130" s="16"/>
      <c r="J130" s="13"/>
      <c r="K130" s="14" t="str">
        <f aca="false">IF(F130="","",IF(J130="","Pendiente OC",IF(COUNTIF(Seguimiento_OC!$A:$A,J130)=0,"OC no registrada",INDEX(Seguimiento_OC!$Y:$Y,MATCH(J130,Seguimiento_OC!$A:$A,0)))))</f>
        <v/>
      </c>
      <c r="L130" s="13"/>
    </row>
    <row r="131" customFormat="false" ht="15" hidden="false" customHeight="false" outlineLevel="0" collapsed="false">
      <c r="A131" s="16"/>
      <c r="B131" s="14" t="str">
        <f aca="false">IF(A131="","",MONTH(A131))</f>
        <v/>
      </c>
      <c r="C131" s="13"/>
      <c r="D131" s="13"/>
      <c r="E131" s="13"/>
      <c r="F131" s="13"/>
      <c r="G131" s="13"/>
      <c r="H131" s="17"/>
      <c r="I131" s="16"/>
      <c r="J131" s="13"/>
      <c r="K131" s="14" t="str">
        <f aca="false">IF(F131="","",IF(J131="","Pendiente OC",IF(COUNTIF(Seguimiento_OC!$A:$A,J131)=0,"OC no registrada",INDEX(Seguimiento_OC!$Y:$Y,MATCH(J131,Seguimiento_OC!$A:$A,0)))))</f>
        <v/>
      </c>
      <c r="L131" s="13"/>
    </row>
    <row r="132" customFormat="false" ht="15" hidden="false" customHeight="false" outlineLevel="0" collapsed="false">
      <c r="A132" s="16"/>
      <c r="B132" s="14" t="str">
        <f aca="false">IF(A132="","",MONTH(A132))</f>
        <v/>
      </c>
      <c r="C132" s="13"/>
      <c r="D132" s="13"/>
      <c r="E132" s="13"/>
      <c r="F132" s="13"/>
      <c r="G132" s="13"/>
      <c r="H132" s="17"/>
      <c r="I132" s="16"/>
      <c r="J132" s="13"/>
      <c r="K132" s="14" t="str">
        <f aca="false">IF(F132="","",IF(J132="","Pendiente OC",IF(COUNTIF(Seguimiento_OC!$A:$A,J132)=0,"OC no registrada",INDEX(Seguimiento_OC!$Y:$Y,MATCH(J132,Seguimiento_OC!$A:$A,0)))))</f>
        <v/>
      </c>
      <c r="L132" s="13"/>
    </row>
    <row r="133" customFormat="false" ht="15" hidden="false" customHeight="false" outlineLevel="0" collapsed="false">
      <c r="A133" s="16"/>
      <c r="B133" s="14" t="str">
        <f aca="false">IF(A133="","",MONTH(A133))</f>
        <v/>
      </c>
      <c r="C133" s="13"/>
      <c r="D133" s="13"/>
      <c r="E133" s="13"/>
      <c r="F133" s="13"/>
      <c r="G133" s="13"/>
      <c r="H133" s="17"/>
      <c r="I133" s="16"/>
      <c r="J133" s="13"/>
      <c r="K133" s="14" t="str">
        <f aca="false">IF(F133="","",IF(J133="","Pendiente OC",IF(COUNTIF(Seguimiento_OC!$A:$A,J133)=0,"OC no registrada",INDEX(Seguimiento_OC!$Y:$Y,MATCH(J133,Seguimiento_OC!$A:$A,0)))))</f>
        <v/>
      </c>
      <c r="L133" s="13"/>
    </row>
    <row r="134" customFormat="false" ht="15" hidden="false" customHeight="false" outlineLevel="0" collapsed="false">
      <c r="A134" s="16"/>
      <c r="B134" s="14" t="str">
        <f aca="false">IF(A134="","",MONTH(A134))</f>
        <v/>
      </c>
      <c r="C134" s="13"/>
      <c r="D134" s="13"/>
      <c r="E134" s="13"/>
      <c r="F134" s="13"/>
      <c r="G134" s="13"/>
      <c r="H134" s="17"/>
      <c r="I134" s="16"/>
      <c r="J134" s="13"/>
      <c r="K134" s="14" t="str">
        <f aca="false">IF(F134="","",IF(J134="","Pendiente OC",IF(COUNTIF(Seguimiento_OC!$A:$A,J134)=0,"OC no registrada",INDEX(Seguimiento_OC!$Y:$Y,MATCH(J134,Seguimiento_OC!$A:$A,0)))))</f>
        <v/>
      </c>
      <c r="L134" s="13"/>
    </row>
    <row r="135" customFormat="false" ht="15" hidden="false" customHeight="false" outlineLevel="0" collapsed="false">
      <c r="A135" s="16"/>
      <c r="B135" s="14" t="str">
        <f aca="false">IF(A135="","",MONTH(A135))</f>
        <v/>
      </c>
      <c r="C135" s="13"/>
      <c r="D135" s="13"/>
      <c r="E135" s="13"/>
      <c r="F135" s="13"/>
      <c r="G135" s="13"/>
      <c r="H135" s="17"/>
      <c r="I135" s="16"/>
      <c r="J135" s="13"/>
      <c r="K135" s="14" t="str">
        <f aca="false">IF(F135="","",IF(J135="","Pendiente OC",IF(COUNTIF(Seguimiento_OC!$A:$A,J135)=0,"OC no registrada",INDEX(Seguimiento_OC!$Y:$Y,MATCH(J135,Seguimiento_OC!$A:$A,0)))))</f>
        <v/>
      </c>
      <c r="L135" s="13"/>
    </row>
    <row r="136" customFormat="false" ht="15" hidden="false" customHeight="false" outlineLevel="0" collapsed="false">
      <c r="A136" s="16"/>
      <c r="B136" s="14" t="str">
        <f aca="false">IF(A136="","",MONTH(A136))</f>
        <v/>
      </c>
      <c r="C136" s="13"/>
      <c r="D136" s="13"/>
      <c r="E136" s="13"/>
      <c r="F136" s="13"/>
      <c r="G136" s="13"/>
      <c r="H136" s="17"/>
      <c r="I136" s="16"/>
      <c r="J136" s="13"/>
      <c r="K136" s="14" t="str">
        <f aca="false">IF(F136="","",IF(J136="","Pendiente OC",IF(COUNTIF(Seguimiento_OC!$A:$A,J136)=0,"OC no registrada",INDEX(Seguimiento_OC!$Y:$Y,MATCH(J136,Seguimiento_OC!$A:$A,0)))))</f>
        <v/>
      </c>
      <c r="L136" s="13"/>
    </row>
    <row r="137" customFormat="false" ht="15" hidden="false" customHeight="false" outlineLevel="0" collapsed="false">
      <c r="A137" s="16"/>
      <c r="B137" s="14" t="str">
        <f aca="false">IF(A137="","",MONTH(A137))</f>
        <v/>
      </c>
      <c r="C137" s="13"/>
      <c r="D137" s="13"/>
      <c r="E137" s="13"/>
      <c r="F137" s="13"/>
      <c r="G137" s="13"/>
      <c r="H137" s="17"/>
      <c r="I137" s="16"/>
      <c r="J137" s="13"/>
      <c r="K137" s="14" t="str">
        <f aca="false">IF(F137="","",IF(J137="","Pendiente OC",IF(COUNTIF(Seguimiento_OC!$A:$A,J137)=0,"OC no registrada",INDEX(Seguimiento_OC!$Y:$Y,MATCH(J137,Seguimiento_OC!$A:$A,0)))))</f>
        <v/>
      </c>
      <c r="L137" s="13"/>
    </row>
    <row r="138" customFormat="false" ht="15" hidden="false" customHeight="false" outlineLevel="0" collapsed="false">
      <c r="A138" s="16"/>
      <c r="B138" s="14" t="str">
        <f aca="false">IF(A138="","",MONTH(A138))</f>
        <v/>
      </c>
      <c r="C138" s="13"/>
      <c r="D138" s="13"/>
      <c r="E138" s="13"/>
      <c r="F138" s="13"/>
      <c r="G138" s="13"/>
      <c r="H138" s="17"/>
      <c r="I138" s="16"/>
      <c r="J138" s="13"/>
      <c r="K138" s="14" t="str">
        <f aca="false">IF(F138="","",IF(J138="","Pendiente OC",IF(COUNTIF(Seguimiento_OC!$A:$A,J138)=0,"OC no registrada",INDEX(Seguimiento_OC!$Y:$Y,MATCH(J138,Seguimiento_OC!$A:$A,0)))))</f>
        <v/>
      </c>
      <c r="L138" s="13"/>
    </row>
    <row r="139" customFormat="false" ht="15" hidden="false" customHeight="false" outlineLevel="0" collapsed="false">
      <c r="A139" s="16"/>
      <c r="B139" s="14" t="str">
        <f aca="false">IF(A139="","",MONTH(A139))</f>
        <v/>
      </c>
      <c r="C139" s="13"/>
      <c r="D139" s="13"/>
      <c r="E139" s="13"/>
      <c r="F139" s="13"/>
      <c r="G139" s="13"/>
      <c r="H139" s="17"/>
      <c r="I139" s="16"/>
      <c r="J139" s="13"/>
      <c r="K139" s="14" t="str">
        <f aca="false">IF(F139="","",IF(J139="","Pendiente OC",IF(COUNTIF(Seguimiento_OC!$A:$A,J139)=0,"OC no registrada",INDEX(Seguimiento_OC!$Y:$Y,MATCH(J139,Seguimiento_OC!$A:$A,0)))))</f>
        <v/>
      </c>
      <c r="L139" s="13"/>
    </row>
    <row r="140" customFormat="false" ht="15" hidden="false" customHeight="false" outlineLevel="0" collapsed="false">
      <c r="A140" s="16"/>
      <c r="B140" s="14" t="str">
        <f aca="false">IF(A140="","",MONTH(A140))</f>
        <v/>
      </c>
      <c r="C140" s="13"/>
      <c r="D140" s="13"/>
      <c r="E140" s="13"/>
      <c r="F140" s="13"/>
      <c r="G140" s="13"/>
      <c r="H140" s="17"/>
      <c r="I140" s="16"/>
      <c r="J140" s="13"/>
      <c r="K140" s="14" t="str">
        <f aca="false">IF(F140="","",IF(J140="","Pendiente OC",IF(COUNTIF(Seguimiento_OC!$A:$A,J140)=0,"OC no registrada",INDEX(Seguimiento_OC!$Y:$Y,MATCH(J140,Seguimiento_OC!$A:$A,0)))))</f>
        <v/>
      </c>
      <c r="L140" s="13"/>
    </row>
    <row r="141" customFormat="false" ht="15" hidden="false" customHeight="false" outlineLevel="0" collapsed="false">
      <c r="A141" s="16"/>
      <c r="B141" s="14" t="str">
        <f aca="false">IF(A141="","",MONTH(A141))</f>
        <v/>
      </c>
      <c r="C141" s="13"/>
      <c r="D141" s="13"/>
      <c r="E141" s="13"/>
      <c r="F141" s="13"/>
      <c r="G141" s="13"/>
      <c r="H141" s="17"/>
      <c r="I141" s="16"/>
      <c r="J141" s="13"/>
      <c r="K141" s="14" t="str">
        <f aca="false">IF(F141="","",IF(J141="","Pendiente OC",IF(COUNTIF(Seguimiento_OC!$A:$A,J141)=0,"OC no registrada",INDEX(Seguimiento_OC!$Y:$Y,MATCH(J141,Seguimiento_OC!$A:$A,0)))))</f>
        <v/>
      </c>
      <c r="L141" s="13"/>
    </row>
    <row r="142" customFormat="false" ht="15" hidden="false" customHeight="false" outlineLevel="0" collapsed="false">
      <c r="A142" s="16"/>
      <c r="B142" s="14" t="str">
        <f aca="false">IF(A142="","",MONTH(A142))</f>
        <v/>
      </c>
      <c r="C142" s="13"/>
      <c r="D142" s="13"/>
      <c r="E142" s="13"/>
      <c r="F142" s="13"/>
      <c r="G142" s="13"/>
      <c r="H142" s="17"/>
      <c r="I142" s="16"/>
      <c r="J142" s="13"/>
      <c r="K142" s="14" t="str">
        <f aca="false">IF(F142="","",IF(J142="","Pendiente OC",IF(COUNTIF(Seguimiento_OC!$A:$A,J142)=0,"OC no registrada",INDEX(Seguimiento_OC!$Y:$Y,MATCH(J142,Seguimiento_OC!$A:$A,0)))))</f>
        <v/>
      </c>
      <c r="L142" s="13"/>
    </row>
    <row r="143" customFormat="false" ht="15" hidden="false" customHeight="false" outlineLevel="0" collapsed="false">
      <c r="A143" s="16"/>
      <c r="B143" s="14" t="str">
        <f aca="false">IF(A143="","",MONTH(A143))</f>
        <v/>
      </c>
      <c r="C143" s="13"/>
      <c r="D143" s="13"/>
      <c r="E143" s="13"/>
      <c r="F143" s="13"/>
      <c r="G143" s="13"/>
      <c r="H143" s="17"/>
      <c r="I143" s="16"/>
      <c r="J143" s="13"/>
      <c r="K143" s="14" t="str">
        <f aca="false">IF(F143="","",IF(J143="","Pendiente OC",IF(COUNTIF(Seguimiento_OC!$A:$A,J143)=0,"OC no registrada",INDEX(Seguimiento_OC!$Y:$Y,MATCH(J143,Seguimiento_OC!$A:$A,0)))))</f>
        <v/>
      </c>
      <c r="L143" s="13"/>
    </row>
    <row r="144" customFormat="false" ht="15" hidden="false" customHeight="false" outlineLevel="0" collapsed="false">
      <c r="A144" s="16"/>
      <c r="B144" s="14" t="str">
        <f aca="false">IF(A144="","",MONTH(A144))</f>
        <v/>
      </c>
      <c r="C144" s="13"/>
      <c r="D144" s="13"/>
      <c r="E144" s="13"/>
      <c r="F144" s="13"/>
      <c r="G144" s="13"/>
      <c r="H144" s="17"/>
      <c r="I144" s="16"/>
      <c r="J144" s="13"/>
      <c r="K144" s="14" t="str">
        <f aca="false">IF(F144="","",IF(J144="","Pendiente OC",IF(COUNTIF(Seguimiento_OC!$A:$A,J144)=0,"OC no registrada",INDEX(Seguimiento_OC!$Y:$Y,MATCH(J144,Seguimiento_OC!$A:$A,0)))))</f>
        <v/>
      </c>
      <c r="L144" s="13"/>
    </row>
    <row r="145" customFormat="false" ht="15" hidden="false" customHeight="false" outlineLevel="0" collapsed="false">
      <c r="A145" s="16"/>
      <c r="B145" s="14" t="str">
        <f aca="false">IF(A145="","",MONTH(A145))</f>
        <v/>
      </c>
      <c r="C145" s="13"/>
      <c r="D145" s="13"/>
      <c r="E145" s="13"/>
      <c r="F145" s="13"/>
      <c r="G145" s="13"/>
      <c r="H145" s="17"/>
      <c r="I145" s="16"/>
      <c r="J145" s="13"/>
      <c r="K145" s="14" t="str">
        <f aca="false">IF(F145="","",IF(J145="","Pendiente OC",IF(COUNTIF(Seguimiento_OC!$A:$A,J145)=0,"OC no registrada",INDEX(Seguimiento_OC!$Y:$Y,MATCH(J145,Seguimiento_OC!$A:$A,0)))))</f>
        <v/>
      </c>
      <c r="L145" s="13"/>
    </row>
    <row r="146" customFormat="false" ht="15" hidden="false" customHeight="false" outlineLevel="0" collapsed="false">
      <c r="A146" s="16"/>
      <c r="B146" s="14" t="str">
        <f aca="false">IF(A146="","",MONTH(A146))</f>
        <v/>
      </c>
      <c r="C146" s="13"/>
      <c r="D146" s="13"/>
      <c r="E146" s="13"/>
      <c r="F146" s="13"/>
      <c r="G146" s="13"/>
      <c r="H146" s="17"/>
      <c r="I146" s="16"/>
      <c r="J146" s="13"/>
      <c r="K146" s="14" t="str">
        <f aca="false">IF(F146="","",IF(J146="","Pendiente OC",IF(COUNTIF(Seguimiento_OC!$A:$A,J146)=0,"OC no registrada",INDEX(Seguimiento_OC!$Y:$Y,MATCH(J146,Seguimiento_OC!$A:$A,0)))))</f>
        <v/>
      </c>
      <c r="L146" s="13"/>
    </row>
    <row r="147" customFormat="false" ht="15" hidden="false" customHeight="false" outlineLevel="0" collapsed="false">
      <c r="A147" s="16"/>
      <c r="B147" s="14" t="str">
        <f aca="false">IF(A147="","",MONTH(A147))</f>
        <v/>
      </c>
      <c r="C147" s="13"/>
      <c r="D147" s="13"/>
      <c r="E147" s="13"/>
      <c r="F147" s="13"/>
      <c r="G147" s="13"/>
      <c r="H147" s="17"/>
      <c r="I147" s="16"/>
      <c r="J147" s="13"/>
      <c r="K147" s="14" t="str">
        <f aca="false">IF(F147="","",IF(J147="","Pendiente OC",IF(COUNTIF(Seguimiento_OC!$A:$A,J147)=0,"OC no registrada",INDEX(Seguimiento_OC!$Y:$Y,MATCH(J147,Seguimiento_OC!$A:$A,0)))))</f>
        <v/>
      </c>
      <c r="L147" s="13"/>
    </row>
    <row r="148" customFormat="false" ht="15" hidden="false" customHeight="false" outlineLevel="0" collapsed="false">
      <c r="A148" s="16"/>
      <c r="B148" s="14" t="str">
        <f aca="false">IF(A148="","",MONTH(A148))</f>
        <v/>
      </c>
      <c r="C148" s="13"/>
      <c r="D148" s="13"/>
      <c r="E148" s="13"/>
      <c r="F148" s="13"/>
      <c r="G148" s="13"/>
      <c r="H148" s="17"/>
      <c r="I148" s="16"/>
      <c r="J148" s="13"/>
      <c r="K148" s="14" t="str">
        <f aca="false">IF(F148="","",IF(J148="","Pendiente OC",IF(COUNTIF(Seguimiento_OC!$A:$A,J148)=0,"OC no registrada",INDEX(Seguimiento_OC!$Y:$Y,MATCH(J148,Seguimiento_OC!$A:$A,0)))))</f>
        <v/>
      </c>
      <c r="L148" s="13"/>
    </row>
    <row r="149" customFormat="false" ht="15" hidden="false" customHeight="false" outlineLevel="0" collapsed="false">
      <c r="A149" s="16"/>
      <c r="B149" s="14" t="str">
        <f aca="false">IF(A149="","",MONTH(A149))</f>
        <v/>
      </c>
      <c r="C149" s="13"/>
      <c r="D149" s="13"/>
      <c r="E149" s="13"/>
      <c r="F149" s="13"/>
      <c r="G149" s="13"/>
      <c r="H149" s="17"/>
      <c r="I149" s="16"/>
      <c r="J149" s="13"/>
      <c r="K149" s="14" t="str">
        <f aca="false">IF(F149="","",IF(J149="","Pendiente OC",IF(COUNTIF(Seguimiento_OC!$A:$A,J149)=0,"OC no registrada",INDEX(Seguimiento_OC!$Y:$Y,MATCH(J149,Seguimiento_OC!$A:$A,0)))))</f>
        <v/>
      </c>
      <c r="L149" s="13"/>
    </row>
    <row r="150" customFormat="false" ht="15" hidden="false" customHeight="false" outlineLevel="0" collapsed="false">
      <c r="A150" s="16"/>
      <c r="B150" s="14" t="str">
        <f aca="false">IF(A150="","",MONTH(A150))</f>
        <v/>
      </c>
      <c r="C150" s="13"/>
      <c r="D150" s="13"/>
      <c r="E150" s="13"/>
      <c r="F150" s="13"/>
      <c r="G150" s="13"/>
      <c r="H150" s="17"/>
      <c r="I150" s="16"/>
      <c r="J150" s="13"/>
      <c r="K150" s="14" t="str">
        <f aca="false">IF(F150="","",IF(J150="","Pendiente OC",IF(COUNTIF(Seguimiento_OC!$A:$A,J150)=0,"OC no registrada",INDEX(Seguimiento_OC!$Y:$Y,MATCH(J150,Seguimiento_OC!$A:$A,0)))))</f>
        <v/>
      </c>
      <c r="L150" s="13"/>
    </row>
    <row r="151" customFormat="false" ht="15" hidden="false" customHeight="false" outlineLevel="0" collapsed="false">
      <c r="A151" s="16"/>
      <c r="B151" s="14" t="str">
        <f aca="false">IF(A151="","",MONTH(A151))</f>
        <v/>
      </c>
      <c r="C151" s="13"/>
      <c r="D151" s="13"/>
      <c r="E151" s="13"/>
      <c r="F151" s="13"/>
      <c r="G151" s="13"/>
      <c r="H151" s="17"/>
      <c r="I151" s="16"/>
      <c r="J151" s="13"/>
      <c r="K151" s="14" t="str">
        <f aca="false">IF(F151="","",IF(J151="","Pendiente OC",IF(COUNTIF(Seguimiento_OC!$A:$A,J151)=0,"OC no registrada",INDEX(Seguimiento_OC!$Y:$Y,MATCH(J151,Seguimiento_OC!$A:$A,0)))))</f>
        <v/>
      </c>
      <c r="L151" s="13"/>
    </row>
    <row r="152" customFormat="false" ht="15" hidden="false" customHeight="false" outlineLevel="0" collapsed="false">
      <c r="A152" s="16"/>
      <c r="B152" s="14" t="str">
        <f aca="false">IF(A152="","",MONTH(A152))</f>
        <v/>
      </c>
      <c r="C152" s="13"/>
      <c r="D152" s="13"/>
      <c r="E152" s="13"/>
      <c r="F152" s="13"/>
      <c r="G152" s="13"/>
      <c r="H152" s="17"/>
      <c r="I152" s="16"/>
      <c r="J152" s="13"/>
      <c r="K152" s="14" t="str">
        <f aca="false">IF(F152="","",IF(J152="","Pendiente OC",IF(COUNTIF(Seguimiento_OC!$A:$A,J152)=0,"OC no registrada",INDEX(Seguimiento_OC!$Y:$Y,MATCH(J152,Seguimiento_OC!$A:$A,0)))))</f>
        <v/>
      </c>
      <c r="L152" s="13"/>
    </row>
    <row r="153" customFormat="false" ht="15" hidden="false" customHeight="false" outlineLevel="0" collapsed="false">
      <c r="A153" s="16"/>
      <c r="B153" s="14" t="str">
        <f aca="false">IF(A153="","",MONTH(A153))</f>
        <v/>
      </c>
      <c r="C153" s="13"/>
      <c r="D153" s="13"/>
      <c r="E153" s="13"/>
      <c r="F153" s="13"/>
      <c r="G153" s="13"/>
      <c r="H153" s="17"/>
      <c r="I153" s="16"/>
      <c r="J153" s="13"/>
      <c r="K153" s="14" t="str">
        <f aca="false">IF(F153="","",IF(J153="","Pendiente OC",IF(COUNTIF(Seguimiento_OC!$A:$A,J153)=0,"OC no registrada",INDEX(Seguimiento_OC!$Y:$Y,MATCH(J153,Seguimiento_OC!$A:$A,0)))))</f>
        <v/>
      </c>
      <c r="L153" s="13"/>
    </row>
    <row r="154" customFormat="false" ht="15" hidden="false" customHeight="false" outlineLevel="0" collapsed="false">
      <c r="A154" s="16"/>
      <c r="B154" s="14" t="str">
        <f aca="false">IF(A154="","",MONTH(A154))</f>
        <v/>
      </c>
      <c r="C154" s="13"/>
      <c r="D154" s="13"/>
      <c r="E154" s="13"/>
      <c r="F154" s="13"/>
      <c r="G154" s="13"/>
      <c r="H154" s="17"/>
      <c r="I154" s="16"/>
      <c r="J154" s="13"/>
      <c r="K154" s="14" t="str">
        <f aca="false">IF(F154="","",IF(J154="","Pendiente OC",IF(COUNTIF(Seguimiento_OC!$A:$A,J154)=0,"OC no registrada",INDEX(Seguimiento_OC!$Y:$Y,MATCH(J154,Seguimiento_OC!$A:$A,0)))))</f>
        <v/>
      </c>
      <c r="L154" s="13"/>
    </row>
    <row r="155" customFormat="false" ht="15" hidden="false" customHeight="false" outlineLevel="0" collapsed="false">
      <c r="A155" s="16"/>
      <c r="B155" s="14" t="str">
        <f aca="false">IF(A155="","",MONTH(A155))</f>
        <v/>
      </c>
      <c r="C155" s="13"/>
      <c r="D155" s="13"/>
      <c r="E155" s="13"/>
      <c r="F155" s="13"/>
      <c r="G155" s="13"/>
      <c r="H155" s="17"/>
      <c r="I155" s="16"/>
      <c r="J155" s="13"/>
      <c r="K155" s="14" t="str">
        <f aca="false">IF(F155="","",IF(J155="","Pendiente OC",IF(COUNTIF(Seguimiento_OC!$A:$A,J155)=0,"OC no registrada",INDEX(Seguimiento_OC!$Y:$Y,MATCH(J155,Seguimiento_OC!$A:$A,0)))))</f>
        <v/>
      </c>
      <c r="L155" s="13"/>
    </row>
    <row r="156" customFormat="false" ht="15" hidden="false" customHeight="false" outlineLevel="0" collapsed="false">
      <c r="A156" s="16"/>
      <c r="B156" s="14" t="str">
        <f aca="false">IF(A156="","",MONTH(A156))</f>
        <v/>
      </c>
      <c r="C156" s="13"/>
      <c r="D156" s="13"/>
      <c r="E156" s="13"/>
      <c r="F156" s="13"/>
      <c r="G156" s="13"/>
      <c r="H156" s="17"/>
      <c r="I156" s="16"/>
      <c r="J156" s="13"/>
      <c r="K156" s="14" t="str">
        <f aca="false">IF(F156="","",IF(J156="","Pendiente OC",IF(COUNTIF(Seguimiento_OC!$A:$A,J156)=0,"OC no registrada",INDEX(Seguimiento_OC!$Y:$Y,MATCH(J156,Seguimiento_OC!$A:$A,0)))))</f>
        <v/>
      </c>
      <c r="L156" s="13"/>
    </row>
    <row r="157" customFormat="false" ht="15" hidden="false" customHeight="false" outlineLevel="0" collapsed="false">
      <c r="A157" s="16"/>
      <c r="B157" s="14" t="str">
        <f aca="false">IF(A157="","",MONTH(A157))</f>
        <v/>
      </c>
      <c r="C157" s="13"/>
      <c r="D157" s="13"/>
      <c r="E157" s="13"/>
      <c r="F157" s="13"/>
      <c r="G157" s="13"/>
      <c r="H157" s="17"/>
      <c r="I157" s="16"/>
      <c r="J157" s="13"/>
      <c r="K157" s="14" t="str">
        <f aca="false">IF(F157="","",IF(J157="","Pendiente OC",IF(COUNTIF(Seguimiento_OC!$A:$A,J157)=0,"OC no registrada",INDEX(Seguimiento_OC!$Y:$Y,MATCH(J157,Seguimiento_OC!$A:$A,0)))))</f>
        <v/>
      </c>
      <c r="L157" s="13"/>
    </row>
    <row r="158" customFormat="false" ht="15" hidden="false" customHeight="false" outlineLevel="0" collapsed="false">
      <c r="A158" s="16"/>
      <c r="B158" s="14" t="str">
        <f aca="false">IF(A158="","",MONTH(A158))</f>
        <v/>
      </c>
      <c r="C158" s="13"/>
      <c r="D158" s="13"/>
      <c r="E158" s="13"/>
      <c r="F158" s="13"/>
      <c r="G158" s="13"/>
      <c r="H158" s="17"/>
      <c r="I158" s="16"/>
      <c r="J158" s="13"/>
      <c r="K158" s="14" t="str">
        <f aca="false">IF(F158="","",IF(J158="","Pendiente OC",IF(COUNTIF(Seguimiento_OC!$A:$A,J158)=0,"OC no registrada",INDEX(Seguimiento_OC!$Y:$Y,MATCH(J158,Seguimiento_OC!$A:$A,0)))))</f>
        <v/>
      </c>
      <c r="L158" s="13"/>
    </row>
    <row r="159" customFormat="false" ht="15" hidden="false" customHeight="false" outlineLevel="0" collapsed="false">
      <c r="A159" s="16"/>
      <c r="B159" s="14" t="str">
        <f aca="false">IF(A159="","",MONTH(A159))</f>
        <v/>
      </c>
      <c r="C159" s="13"/>
      <c r="D159" s="13"/>
      <c r="E159" s="13"/>
      <c r="F159" s="13"/>
      <c r="G159" s="13"/>
      <c r="H159" s="17"/>
      <c r="I159" s="16"/>
      <c r="J159" s="13"/>
      <c r="K159" s="14" t="str">
        <f aca="false">IF(F159="","",IF(J159="","Pendiente OC",IF(COUNTIF(Seguimiento_OC!$A:$A,J159)=0,"OC no registrada",INDEX(Seguimiento_OC!$Y:$Y,MATCH(J159,Seguimiento_OC!$A:$A,0)))))</f>
        <v/>
      </c>
      <c r="L159" s="13"/>
    </row>
    <row r="160" customFormat="false" ht="15" hidden="false" customHeight="false" outlineLevel="0" collapsed="false">
      <c r="A160" s="16"/>
      <c r="B160" s="14" t="str">
        <f aca="false">IF(A160="","",MONTH(A160))</f>
        <v/>
      </c>
      <c r="C160" s="13"/>
      <c r="D160" s="13"/>
      <c r="E160" s="13"/>
      <c r="F160" s="13"/>
      <c r="G160" s="13"/>
      <c r="H160" s="17"/>
      <c r="I160" s="16"/>
      <c r="J160" s="13"/>
      <c r="K160" s="14" t="str">
        <f aca="false">IF(F160="","",IF(J160="","Pendiente OC",IF(COUNTIF(Seguimiento_OC!$A:$A,J160)=0,"OC no registrada",INDEX(Seguimiento_OC!$Y:$Y,MATCH(J160,Seguimiento_OC!$A:$A,0)))))</f>
        <v/>
      </c>
      <c r="L160" s="13"/>
    </row>
    <row r="161" customFormat="false" ht="15" hidden="false" customHeight="false" outlineLevel="0" collapsed="false">
      <c r="A161" s="16"/>
      <c r="B161" s="14" t="str">
        <f aca="false">IF(A161="","",MONTH(A161))</f>
        <v/>
      </c>
      <c r="C161" s="13"/>
      <c r="D161" s="13"/>
      <c r="E161" s="13"/>
      <c r="F161" s="13"/>
      <c r="G161" s="13"/>
      <c r="H161" s="17"/>
      <c r="I161" s="16"/>
      <c r="J161" s="13"/>
      <c r="K161" s="14" t="str">
        <f aca="false">IF(F161="","",IF(J161="","Pendiente OC",IF(COUNTIF(Seguimiento_OC!$A:$A,J161)=0,"OC no registrada",INDEX(Seguimiento_OC!$Y:$Y,MATCH(J161,Seguimiento_OC!$A:$A,0)))))</f>
        <v/>
      </c>
      <c r="L161" s="13"/>
    </row>
    <row r="162" customFormat="false" ht="15" hidden="false" customHeight="false" outlineLevel="0" collapsed="false">
      <c r="A162" s="16"/>
      <c r="B162" s="14" t="str">
        <f aca="false">IF(A162="","",MONTH(A162))</f>
        <v/>
      </c>
      <c r="C162" s="13"/>
      <c r="D162" s="13"/>
      <c r="E162" s="13"/>
      <c r="F162" s="13"/>
      <c r="G162" s="13"/>
      <c r="H162" s="17"/>
      <c r="I162" s="16"/>
      <c r="J162" s="13"/>
      <c r="K162" s="14" t="str">
        <f aca="false">IF(F162="","",IF(J162="","Pendiente OC",IF(COUNTIF(Seguimiento_OC!$A:$A,J162)=0,"OC no registrada",INDEX(Seguimiento_OC!$Y:$Y,MATCH(J162,Seguimiento_OC!$A:$A,0)))))</f>
        <v/>
      </c>
      <c r="L162" s="13"/>
    </row>
    <row r="163" customFormat="false" ht="15" hidden="false" customHeight="false" outlineLevel="0" collapsed="false">
      <c r="A163" s="16"/>
      <c r="B163" s="14" t="str">
        <f aca="false">IF(A163="","",MONTH(A163))</f>
        <v/>
      </c>
      <c r="C163" s="13"/>
      <c r="D163" s="13"/>
      <c r="E163" s="13"/>
      <c r="F163" s="13"/>
      <c r="G163" s="13"/>
      <c r="H163" s="17"/>
      <c r="I163" s="16"/>
      <c r="J163" s="13"/>
      <c r="K163" s="14" t="str">
        <f aca="false">IF(F163="","",IF(J163="","Pendiente OC",IF(COUNTIF(Seguimiento_OC!$A:$A,J163)=0,"OC no registrada",INDEX(Seguimiento_OC!$Y:$Y,MATCH(J163,Seguimiento_OC!$A:$A,0)))))</f>
        <v/>
      </c>
      <c r="L163" s="13"/>
    </row>
    <row r="164" customFormat="false" ht="15" hidden="false" customHeight="false" outlineLevel="0" collapsed="false">
      <c r="A164" s="16"/>
      <c r="B164" s="14" t="str">
        <f aca="false">IF(A164="","",MONTH(A164))</f>
        <v/>
      </c>
      <c r="C164" s="13"/>
      <c r="D164" s="13"/>
      <c r="E164" s="13"/>
      <c r="F164" s="13"/>
      <c r="G164" s="13"/>
      <c r="H164" s="17"/>
      <c r="I164" s="16"/>
      <c r="J164" s="13"/>
      <c r="K164" s="14" t="str">
        <f aca="false">IF(F164="","",IF(J164="","Pendiente OC",IF(COUNTIF(Seguimiento_OC!$A:$A,J164)=0,"OC no registrada",INDEX(Seguimiento_OC!$Y:$Y,MATCH(J164,Seguimiento_OC!$A:$A,0)))))</f>
        <v/>
      </c>
      <c r="L164" s="13"/>
    </row>
    <row r="165" customFormat="false" ht="15" hidden="false" customHeight="false" outlineLevel="0" collapsed="false">
      <c r="A165" s="16"/>
      <c r="B165" s="14" t="str">
        <f aca="false">IF(A165="","",MONTH(A165))</f>
        <v/>
      </c>
      <c r="C165" s="13"/>
      <c r="D165" s="13"/>
      <c r="E165" s="13"/>
      <c r="F165" s="13"/>
      <c r="G165" s="13"/>
      <c r="H165" s="17"/>
      <c r="I165" s="16"/>
      <c r="J165" s="13"/>
      <c r="K165" s="14" t="str">
        <f aca="false">IF(F165="","",IF(J165="","Pendiente OC",IF(COUNTIF(Seguimiento_OC!$A:$A,J165)=0,"OC no registrada",INDEX(Seguimiento_OC!$Y:$Y,MATCH(J165,Seguimiento_OC!$A:$A,0)))))</f>
        <v/>
      </c>
      <c r="L165" s="13"/>
    </row>
    <row r="166" customFormat="false" ht="15" hidden="false" customHeight="false" outlineLevel="0" collapsed="false">
      <c r="A166" s="16"/>
      <c r="B166" s="14" t="str">
        <f aca="false">IF(A166="","",MONTH(A166))</f>
        <v/>
      </c>
      <c r="C166" s="13"/>
      <c r="D166" s="13"/>
      <c r="E166" s="13"/>
      <c r="F166" s="13"/>
      <c r="G166" s="13"/>
      <c r="H166" s="17"/>
      <c r="I166" s="16"/>
      <c r="J166" s="13"/>
      <c r="K166" s="14" t="str">
        <f aca="false">IF(F166="","",IF(J166="","Pendiente OC",IF(COUNTIF(Seguimiento_OC!$A:$A,J166)=0,"OC no registrada",INDEX(Seguimiento_OC!$Y:$Y,MATCH(J166,Seguimiento_OC!$A:$A,0)))))</f>
        <v/>
      </c>
      <c r="L166" s="13"/>
    </row>
    <row r="167" customFormat="false" ht="15" hidden="false" customHeight="false" outlineLevel="0" collapsed="false">
      <c r="A167" s="16"/>
      <c r="B167" s="14" t="str">
        <f aca="false">IF(A167="","",MONTH(A167))</f>
        <v/>
      </c>
      <c r="C167" s="13"/>
      <c r="D167" s="13"/>
      <c r="E167" s="13"/>
      <c r="F167" s="13"/>
      <c r="G167" s="13"/>
      <c r="H167" s="17"/>
      <c r="I167" s="16"/>
      <c r="J167" s="13"/>
      <c r="K167" s="14" t="str">
        <f aca="false">IF(F167="","",IF(J167="","Pendiente OC",IF(COUNTIF(Seguimiento_OC!$A:$A,J167)=0,"OC no registrada",INDEX(Seguimiento_OC!$Y:$Y,MATCH(J167,Seguimiento_OC!$A:$A,0)))))</f>
        <v/>
      </c>
      <c r="L167" s="13"/>
    </row>
    <row r="168" customFormat="false" ht="15" hidden="false" customHeight="false" outlineLevel="0" collapsed="false">
      <c r="A168" s="16"/>
      <c r="B168" s="14" t="str">
        <f aca="false">IF(A168="","",MONTH(A168))</f>
        <v/>
      </c>
      <c r="C168" s="13"/>
      <c r="D168" s="13"/>
      <c r="E168" s="13"/>
      <c r="F168" s="13"/>
      <c r="G168" s="13"/>
      <c r="H168" s="17"/>
      <c r="I168" s="16"/>
      <c r="J168" s="13"/>
      <c r="K168" s="14" t="str">
        <f aca="false">IF(F168="","",IF(J168="","Pendiente OC",IF(COUNTIF(Seguimiento_OC!$A:$A,J168)=0,"OC no registrada",INDEX(Seguimiento_OC!$Y:$Y,MATCH(J168,Seguimiento_OC!$A:$A,0)))))</f>
        <v/>
      </c>
      <c r="L168" s="13"/>
    </row>
    <row r="169" customFormat="false" ht="15" hidden="false" customHeight="false" outlineLevel="0" collapsed="false">
      <c r="A169" s="16"/>
      <c r="B169" s="14" t="str">
        <f aca="false">IF(A169="","",MONTH(A169))</f>
        <v/>
      </c>
      <c r="C169" s="13"/>
      <c r="D169" s="13"/>
      <c r="E169" s="13"/>
      <c r="F169" s="13"/>
      <c r="G169" s="13"/>
      <c r="H169" s="17"/>
      <c r="I169" s="16"/>
      <c r="J169" s="13"/>
      <c r="K169" s="14" t="str">
        <f aca="false">IF(F169="","",IF(J169="","Pendiente OC",IF(COUNTIF(Seguimiento_OC!$A:$A,J169)=0,"OC no registrada",INDEX(Seguimiento_OC!$Y:$Y,MATCH(J169,Seguimiento_OC!$A:$A,0)))))</f>
        <v/>
      </c>
      <c r="L169" s="13"/>
    </row>
    <row r="170" customFormat="false" ht="15" hidden="false" customHeight="false" outlineLevel="0" collapsed="false">
      <c r="A170" s="16"/>
      <c r="B170" s="14" t="str">
        <f aca="false">IF(A170="","",MONTH(A170))</f>
        <v/>
      </c>
      <c r="C170" s="13"/>
      <c r="D170" s="13"/>
      <c r="E170" s="13"/>
      <c r="F170" s="13"/>
      <c r="G170" s="13"/>
      <c r="H170" s="17"/>
      <c r="I170" s="16"/>
      <c r="J170" s="13"/>
      <c r="K170" s="14" t="str">
        <f aca="false">IF(F170="","",IF(J170="","Pendiente OC",IF(COUNTIF(Seguimiento_OC!$A:$A,J170)=0,"OC no registrada",INDEX(Seguimiento_OC!$Y:$Y,MATCH(J170,Seguimiento_OC!$A:$A,0)))))</f>
        <v/>
      </c>
      <c r="L170" s="13"/>
    </row>
    <row r="171" customFormat="false" ht="15" hidden="false" customHeight="false" outlineLevel="0" collapsed="false">
      <c r="A171" s="16"/>
      <c r="B171" s="14" t="str">
        <f aca="false">IF(A171="","",MONTH(A171))</f>
        <v/>
      </c>
      <c r="C171" s="13"/>
      <c r="D171" s="13"/>
      <c r="E171" s="13"/>
      <c r="F171" s="13"/>
      <c r="G171" s="13"/>
      <c r="H171" s="17"/>
      <c r="I171" s="16"/>
      <c r="J171" s="13"/>
      <c r="K171" s="14" t="str">
        <f aca="false">IF(F171="","",IF(J171="","Pendiente OC",IF(COUNTIF(Seguimiento_OC!$A:$A,J171)=0,"OC no registrada",INDEX(Seguimiento_OC!$Y:$Y,MATCH(J171,Seguimiento_OC!$A:$A,0)))))</f>
        <v/>
      </c>
      <c r="L171" s="13"/>
    </row>
    <row r="172" customFormat="false" ht="15" hidden="false" customHeight="false" outlineLevel="0" collapsed="false">
      <c r="A172" s="16"/>
      <c r="B172" s="14" t="str">
        <f aca="false">IF(A172="","",MONTH(A172))</f>
        <v/>
      </c>
      <c r="C172" s="13"/>
      <c r="D172" s="13"/>
      <c r="E172" s="13"/>
      <c r="F172" s="13"/>
      <c r="G172" s="13"/>
      <c r="H172" s="17"/>
      <c r="I172" s="16"/>
      <c r="J172" s="13"/>
      <c r="K172" s="14" t="str">
        <f aca="false">IF(F172="","",IF(J172="","Pendiente OC",IF(COUNTIF(Seguimiento_OC!$A:$A,J172)=0,"OC no registrada",INDEX(Seguimiento_OC!$Y:$Y,MATCH(J172,Seguimiento_OC!$A:$A,0)))))</f>
        <v/>
      </c>
      <c r="L172" s="13"/>
    </row>
    <row r="173" customFormat="false" ht="15" hidden="false" customHeight="false" outlineLevel="0" collapsed="false">
      <c r="A173" s="16"/>
      <c r="B173" s="14" t="str">
        <f aca="false">IF(A173="","",MONTH(A173))</f>
        <v/>
      </c>
      <c r="C173" s="13"/>
      <c r="D173" s="13"/>
      <c r="E173" s="13"/>
      <c r="F173" s="13"/>
      <c r="G173" s="13"/>
      <c r="H173" s="17"/>
      <c r="I173" s="16"/>
      <c r="J173" s="13"/>
      <c r="K173" s="14" t="str">
        <f aca="false">IF(F173="","",IF(J173="","Pendiente OC",IF(COUNTIF(Seguimiento_OC!$A:$A,J173)=0,"OC no registrada",INDEX(Seguimiento_OC!$Y:$Y,MATCH(J173,Seguimiento_OC!$A:$A,0)))))</f>
        <v/>
      </c>
      <c r="L173" s="13"/>
    </row>
    <row r="174" customFormat="false" ht="15" hidden="false" customHeight="false" outlineLevel="0" collapsed="false">
      <c r="A174" s="16"/>
      <c r="B174" s="14" t="str">
        <f aca="false">IF(A174="","",MONTH(A174))</f>
        <v/>
      </c>
      <c r="C174" s="13"/>
      <c r="D174" s="13"/>
      <c r="E174" s="13"/>
      <c r="F174" s="13"/>
      <c r="G174" s="13"/>
      <c r="H174" s="17"/>
      <c r="I174" s="16"/>
      <c r="J174" s="13"/>
      <c r="K174" s="14" t="str">
        <f aca="false">IF(F174="","",IF(J174="","Pendiente OC",IF(COUNTIF(Seguimiento_OC!$A:$A,J174)=0,"OC no registrada",INDEX(Seguimiento_OC!$Y:$Y,MATCH(J174,Seguimiento_OC!$A:$A,0)))))</f>
        <v/>
      </c>
      <c r="L174" s="13"/>
    </row>
    <row r="175" customFormat="false" ht="15" hidden="false" customHeight="false" outlineLevel="0" collapsed="false">
      <c r="A175" s="16"/>
      <c r="B175" s="14" t="str">
        <f aca="false">IF(A175="","",MONTH(A175))</f>
        <v/>
      </c>
      <c r="C175" s="13"/>
      <c r="D175" s="13"/>
      <c r="E175" s="13"/>
      <c r="F175" s="13"/>
      <c r="G175" s="13"/>
      <c r="H175" s="17"/>
      <c r="I175" s="16"/>
      <c r="J175" s="13"/>
      <c r="K175" s="14" t="str">
        <f aca="false">IF(F175="","",IF(J175="","Pendiente OC",IF(COUNTIF(Seguimiento_OC!$A:$A,J175)=0,"OC no registrada",INDEX(Seguimiento_OC!$Y:$Y,MATCH(J175,Seguimiento_OC!$A:$A,0)))))</f>
        <v/>
      </c>
      <c r="L175" s="13"/>
    </row>
    <row r="176" customFormat="false" ht="15" hidden="false" customHeight="false" outlineLevel="0" collapsed="false">
      <c r="A176" s="16"/>
      <c r="B176" s="14" t="str">
        <f aca="false">IF(A176="","",MONTH(A176))</f>
        <v/>
      </c>
      <c r="C176" s="13"/>
      <c r="D176" s="13"/>
      <c r="E176" s="13"/>
      <c r="F176" s="13"/>
      <c r="G176" s="13"/>
      <c r="H176" s="17"/>
      <c r="I176" s="16"/>
      <c r="J176" s="13"/>
      <c r="K176" s="14" t="str">
        <f aca="false">IF(F176="","",IF(J176="","Pendiente OC",IF(COUNTIF(Seguimiento_OC!$A:$A,J176)=0,"OC no registrada",INDEX(Seguimiento_OC!$Y:$Y,MATCH(J176,Seguimiento_OC!$A:$A,0)))))</f>
        <v/>
      </c>
      <c r="L176" s="13"/>
    </row>
    <row r="177" customFormat="false" ht="15" hidden="false" customHeight="false" outlineLevel="0" collapsed="false">
      <c r="A177" s="16"/>
      <c r="B177" s="14" t="str">
        <f aca="false">IF(A177="","",MONTH(A177))</f>
        <v/>
      </c>
      <c r="C177" s="13"/>
      <c r="D177" s="13"/>
      <c r="E177" s="13"/>
      <c r="F177" s="13"/>
      <c r="G177" s="13"/>
      <c r="H177" s="17"/>
      <c r="I177" s="16"/>
      <c r="J177" s="13"/>
      <c r="K177" s="14" t="str">
        <f aca="false">IF(F177="","",IF(J177="","Pendiente OC",IF(COUNTIF(Seguimiento_OC!$A:$A,J177)=0,"OC no registrada",INDEX(Seguimiento_OC!$Y:$Y,MATCH(J177,Seguimiento_OC!$A:$A,0)))))</f>
        <v/>
      </c>
      <c r="L177" s="13"/>
    </row>
    <row r="178" customFormat="false" ht="15" hidden="false" customHeight="false" outlineLevel="0" collapsed="false">
      <c r="A178" s="16"/>
      <c r="B178" s="14" t="str">
        <f aca="false">IF(A178="","",MONTH(A178))</f>
        <v/>
      </c>
      <c r="C178" s="13"/>
      <c r="D178" s="13"/>
      <c r="E178" s="13"/>
      <c r="F178" s="13"/>
      <c r="G178" s="13"/>
      <c r="H178" s="17"/>
      <c r="I178" s="16"/>
      <c r="J178" s="13"/>
      <c r="K178" s="14" t="str">
        <f aca="false">IF(F178="","",IF(J178="","Pendiente OC",IF(COUNTIF(Seguimiento_OC!$A:$A,J178)=0,"OC no registrada",INDEX(Seguimiento_OC!$Y:$Y,MATCH(J178,Seguimiento_OC!$A:$A,0)))))</f>
        <v/>
      </c>
      <c r="L178" s="13"/>
    </row>
    <row r="179" customFormat="false" ht="15" hidden="false" customHeight="false" outlineLevel="0" collapsed="false">
      <c r="A179" s="16"/>
      <c r="B179" s="14" t="str">
        <f aca="false">IF(A179="","",MONTH(A179))</f>
        <v/>
      </c>
      <c r="C179" s="13"/>
      <c r="D179" s="13"/>
      <c r="E179" s="13"/>
      <c r="F179" s="13"/>
      <c r="G179" s="13"/>
      <c r="H179" s="17"/>
      <c r="I179" s="16"/>
      <c r="J179" s="13"/>
      <c r="K179" s="14" t="str">
        <f aca="false">IF(F179="","",IF(J179="","Pendiente OC",IF(COUNTIF(Seguimiento_OC!$A:$A,J179)=0,"OC no registrada",INDEX(Seguimiento_OC!$Y:$Y,MATCH(J179,Seguimiento_OC!$A:$A,0)))))</f>
        <v/>
      </c>
      <c r="L179" s="13"/>
    </row>
    <row r="180" customFormat="false" ht="15" hidden="false" customHeight="false" outlineLevel="0" collapsed="false">
      <c r="A180" s="16"/>
      <c r="B180" s="14" t="str">
        <f aca="false">IF(A180="","",MONTH(A180))</f>
        <v/>
      </c>
      <c r="C180" s="13"/>
      <c r="D180" s="13"/>
      <c r="E180" s="13"/>
      <c r="F180" s="13"/>
      <c r="G180" s="13"/>
      <c r="H180" s="17"/>
      <c r="I180" s="16"/>
      <c r="J180" s="13"/>
      <c r="K180" s="14" t="str">
        <f aca="false">IF(F180="","",IF(J180="","Pendiente OC",IF(COUNTIF(Seguimiento_OC!$A:$A,J180)=0,"OC no registrada",INDEX(Seguimiento_OC!$Y:$Y,MATCH(J180,Seguimiento_OC!$A:$A,0)))))</f>
        <v/>
      </c>
      <c r="L180" s="13"/>
    </row>
    <row r="181" customFormat="false" ht="15" hidden="false" customHeight="false" outlineLevel="0" collapsed="false">
      <c r="A181" s="16"/>
      <c r="B181" s="14" t="str">
        <f aca="false">IF(A181="","",MONTH(A181))</f>
        <v/>
      </c>
      <c r="C181" s="13"/>
      <c r="D181" s="13"/>
      <c r="E181" s="13"/>
      <c r="F181" s="13"/>
      <c r="G181" s="13"/>
      <c r="H181" s="17"/>
      <c r="I181" s="16"/>
      <c r="J181" s="13"/>
      <c r="K181" s="14" t="str">
        <f aca="false">IF(F181="","",IF(J181="","Pendiente OC",IF(COUNTIF(Seguimiento_OC!$A:$A,J181)=0,"OC no registrada",INDEX(Seguimiento_OC!$Y:$Y,MATCH(J181,Seguimiento_OC!$A:$A,0)))))</f>
        <v/>
      </c>
      <c r="L181" s="13"/>
    </row>
    <row r="182" customFormat="false" ht="15" hidden="false" customHeight="false" outlineLevel="0" collapsed="false">
      <c r="A182" s="16"/>
      <c r="B182" s="14" t="str">
        <f aca="false">IF(A182="","",MONTH(A182))</f>
        <v/>
      </c>
      <c r="C182" s="13"/>
      <c r="D182" s="13"/>
      <c r="E182" s="13"/>
      <c r="F182" s="13"/>
      <c r="G182" s="13"/>
      <c r="H182" s="17"/>
      <c r="I182" s="16"/>
      <c r="J182" s="13"/>
      <c r="K182" s="14" t="str">
        <f aca="false">IF(F182="","",IF(J182="","Pendiente OC",IF(COUNTIF(Seguimiento_OC!$A:$A,J182)=0,"OC no registrada",INDEX(Seguimiento_OC!$Y:$Y,MATCH(J182,Seguimiento_OC!$A:$A,0)))))</f>
        <v/>
      </c>
      <c r="L182" s="13"/>
    </row>
    <row r="183" customFormat="false" ht="15" hidden="false" customHeight="false" outlineLevel="0" collapsed="false">
      <c r="A183" s="16"/>
      <c r="B183" s="14" t="str">
        <f aca="false">IF(A183="","",MONTH(A183))</f>
        <v/>
      </c>
      <c r="C183" s="13"/>
      <c r="D183" s="13"/>
      <c r="E183" s="13"/>
      <c r="F183" s="13"/>
      <c r="G183" s="13"/>
      <c r="H183" s="17"/>
      <c r="I183" s="16"/>
      <c r="J183" s="13"/>
      <c r="K183" s="14" t="str">
        <f aca="false">IF(F183="","",IF(J183="","Pendiente OC",IF(COUNTIF(Seguimiento_OC!$A:$A,J183)=0,"OC no registrada",INDEX(Seguimiento_OC!$Y:$Y,MATCH(J183,Seguimiento_OC!$A:$A,0)))))</f>
        <v/>
      </c>
      <c r="L183" s="13"/>
    </row>
    <row r="184" customFormat="false" ht="15" hidden="false" customHeight="false" outlineLevel="0" collapsed="false">
      <c r="A184" s="16"/>
      <c r="B184" s="14" t="str">
        <f aca="false">IF(A184="","",MONTH(A184))</f>
        <v/>
      </c>
      <c r="C184" s="13"/>
      <c r="D184" s="13"/>
      <c r="E184" s="13"/>
      <c r="F184" s="13"/>
      <c r="G184" s="13"/>
      <c r="H184" s="17"/>
      <c r="I184" s="16"/>
      <c r="J184" s="13"/>
      <c r="K184" s="14" t="str">
        <f aca="false">IF(F184="","",IF(J184="","Pendiente OC",IF(COUNTIF(Seguimiento_OC!$A:$A,J184)=0,"OC no registrada",INDEX(Seguimiento_OC!$Y:$Y,MATCH(J184,Seguimiento_OC!$A:$A,0)))))</f>
        <v/>
      </c>
      <c r="L184" s="13"/>
    </row>
    <row r="185" customFormat="false" ht="15" hidden="false" customHeight="false" outlineLevel="0" collapsed="false">
      <c r="A185" s="16"/>
      <c r="B185" s="14" t="str">
        <f aca="false">IF(A185="","",MONTH(A185))</f>
        <v/>
      </c>
      <c r="C185" s="13"/>
      <c r="D185" s="13"/>
      <c r="E185" s="13"/>
      <c r="F185" s="13"/>
      <c r="G185" s="13"/>
      <c r="H185" s="17"/>
      <c r="I185" s="16"/>
      <c r="J185" s="13"/>
      <c r="K185" s="14" t="str">
        <f aca="false">IF(F185="","",IF(J185="","Pendiente OC",IF(COUNTIF(Seguimiento_OC!$A:$A,J185)=0,"OC no registrada",INDEX(Seguimiento_OC!$Y:$Y,MATCH(J185,Seguimiento_OC!$A:$A,0)))))</f>
        <v/>
      </c>
      <c r="L185" s="13"/>
    </row>
    <row r="186" customFormat="false" ht="15" hidden="false" customHeight="false" outlineLevel="0" collapsed="false">
      <c r="A186" s="16"/>
      <c r="B186" s="14" t="str">
        <f aca="false">IF(A186="","",MONTH(A186))</f>
        <v/>
      </c>
      <c r="C186" s="13"/>
      <c r="D186" s="13"/>
      <c r="E186" s="13"/>
      <c r="F186" s="13"/>
      <c r="G186" s="13"/>
      <c r="H186" s="17"/>
      <c r="I186" s="16"/>
      <c r="J186" s="13"/>
      <c r="K186" s="14" t="str">
        <f aca="false">IF(F186="","",IF(J186="","Pendiente OC",IF(COUNTIF(Seguimiento_OC!$A:$A,J186)=0,"OC no registrada",INDEX(Seguimiento_OC!$Y:$Y,MATCH(J186,Seguimiento_OC!$A:$A,0)))))</f>
        <v/>
      </c>
      <c r="L186" s="13"/>
    </row>
    <row r="187" customFormat="false" ht="15" hidden="false" customHeight="false" outlineLevel="0" collapsed="false">
      <c r="A187" s="16"/>
      <c r="B187" s="14" t="str">
        <f aca="false">IF(A187="","",MONTH(A187))</f>
        <v/>
      </c>
      <c r="C187" s="13"/>
      <c r="D187" s="13"/>
      <c r="E187" s="13"/>
      <c r="F187" s="13"/>
      <c r="G187" s="13"/>
      <c r="H187" s="17"/>
      <c r="I187" s="16"/>
      <c r="J187" s="13"/>
      <c r="K187" s="14" t="str">
        <f aca="false">IF(F187="","",IF(J187="","Pendiente OC",IF(COUNTIF(Seguimiento_OC!$A:$A,J187)=0,"OC no registrada",INDEX(Seguimiento_OC!$Y:$Y,MATCH(J187,Seguimiento_OC!$A:$A,0)))))</f>
        <v/>
      </c>
      <c r="L187" s="13"/>
    </row>
    <row r="188" customFormat="false" ht="15" hidden="false" customHeight="false" outlineLevel="0" collapsed="false">
      <c r="A188" s="16"/>
      <c r="B188" s="14" t="str">
        <f aca="false">IF(A188="","",MONTH(A188))</f>
        <v/>
      </c>
      <c r="C188" s="13"/>
      <c r="D188" s="13"/>
      <c r="E188" s="13"/>
      <c r="F188" s="13"/>
      <c r="G188" s="13"/>
      <c r="H188" s="17"/>
      <c r="I188" s="16"/>
      <c r="J188" s="13"/>
      <c r="K188" s="14" t="str">
        <f aca="false">IF(F188="","",IF(J188="","Pendiente OC",IF(COUNTIF(Seguimiento_OC!$A:$A,J188)=0,"OC no registrada",INDEX(Seguimiento_OC!$Y:$Y,MATCH(J188,Seguimiento_OC!$A:$A,0)))))</f>
        <v/>
      </c>
      <c r="L188" s="13"/>
    </row>
    <row r="189" customFormat="false" ht="15" hidden="false" customHeight="false" outlineLevel="0" collapsed="false">
      <c r="A189" s="16"/>
      <c r="B189" s="14" t="str">
        <f aca="false">IF(A189="","",MONTH(A189))</f>
        <v/>
      </c>
      <c r="C189" s="13"/>
      <c r="D189" s="13"/>
      <c r="E189" s="13"/>
      <c r="F189" s="13"/>
      <c r="G189" s="13"/>
      <c r="H189" s="17"/>
      <c r="I189" s="16"/>
      <c r="J189" s="13"/>
      <c r="K189" s="14" t="str">
        <f aca="false">IF(F189="","",IF(J189="","Pendiente OC",IF(COUNTIF(Seguimiento_OC!$A:$A,J189)=0,"OC no registrada",INDEX(Seguimiento_OC!$Y:$Y,MATCH(J189,Seguimiento_OC!$A:$A,0)))))</f>
        <v/>
      </c>
      <c r="L189" s="13"/>
    </row>
    <row r="190" customFormat="false" ht="15" hidden="false" customHeight="false" outlineLevel="0" collapsed="false">
      <c r="A190" s="16"/>
      <c r="B190" s="14" t="str">
        <f aca="false">IF(A190="","",MONTH(A190))</f>
        <v/>
      </c>
      <c r="C190" s="13"/>
      <c r="D190" s="13"/>
      <c r="E190" s="13"/>
      <c r="F190" s="13"/>
      <c r="G190" s="13"/>
      <c r="H190" s="17"/>
      <c r="I190" s="16"/>
      <c r="J190" s="13"/>
      <c r="K190" s="14" t="str">
        <f aca="false">IF(F190="","",IF(J190="","Pendiente OC",IF(COUNTIF(Seguimiento_OC!$A:$A,J190)=0,"OC no registrada",INDEX(Seguimiento_OC!$Y:$Y,MATCH(J190,Seguimiento_OC!$A:$A,0)))))</f>
        <v/>
      </c>
      <c r="L190" s="13"/>
    </row>
    <row r="191" customFormat="false" ht="15" hidden="false" customHeight="false" outlineLevel="0" collapsed="false">
      <c r="A191" s="16"/>
      <c r="B191" s="14" t="str">
        <f aca="false">IF(A191="","",MONTH(A191))</f>
        <v/>
      </c>
      <c r="C191" s="13"/>
      <c r="D191" s="13"/>
      <c r="E191" s="13"/>
      <c r="F191" s="13"/>
      <c r="G191" s="13"/>
      <c r="H191" s="17"/>
      <c r="I191" s="16"/>
      <c r="J191" s="13"/>
      <c r="K191" s="14" t="str">
        <f aca="false">IF(F191="","",IF(J191="","Pendiente OC",IF(COUNTIF(Seguimiento_OC!$A:$A,J191)=0,"OC no registrada",INDEX(Seguimiento_OC!$Y:$Y,MATCH(J191,Seguimiento_OC!$A:$A,0)))))</f>
        <v/>
      </c>
      <c r="L191" s="13"/>
    </row>
    <row r="192" customFormat="false" ht="15" hidden="false" customHeight="false" outlineLevel="0" collapsed="false">
      <c r="A192" s="16"/>
      <c r="B192" s="14" t="str">
        <f aca="false">IF(A192="","",MONTH(A192))</f>
        <v/>
      </c>
      <c r="C192" s="13"/>
      <c r="D192" s="13"/>
      <c r="E192" s="13"/>
      <c r="F192" s="13"/>
      <c r="G192" s="13"/>
      <c r="H192" s="17"/>
      <c r="I192" s="16"/>
      <c r="J192" s="13"/>
      <c r="K192" s="14" t="str">
        <f aca="false">IF(F192="","",IF(J192="","Pendiente OC",IF(COUNTIF(Seguimiento_OC!$A:$A,J192)=0,"OC no registrada",INDEX(Seguimiento_OC!$Y:$Y,MATCH(J192,Seguimiento_OC!$A:$A,0)))))</f>
        <v/>
      </c>
      <c r="L192" s="13"/>
    </row>
    <row r="193" customFormat="false" ht="15" hidden="false" customHeight="false" outlineLevel="0" collapsed="false">
      <c r="A193" s="16"/>
      <c r="B193" s="14" t="str">
        <f aca="false">IF(A193="","",MONTH(A193))</f>
        <v/>
      </c>
      <c r="C193" s="13"/>
      <c r="D193" s="13"/>
      <c r="E193" s="13"/>
      <c r="F193" s="13"/>
      <c r="G193" s="13"/>
      <c r="H193" s="17"/>
      <c r="I193" s="16"/>
      <c r="J193" s="13"/>
      <c r="K193" s="14" t="str">
        <f aca="false">IF(F193="","",IF(J193="","Pendiente OC",IF(COUNTIF(Seguimiento_OC!$A:$A,J193)=0,"OC no registrada",INDEX(Seguimiento_OC!$Y:$Y,MATCH(J193,Seguimiento_OC!$A:$A,0)))))</f>
        <v/>
      </c>
      <c r="L193" s="13"/>
    </row>
    <row r="194" customFormat="false" ht="15" hidden="false" customHeight="false" outlineLevel="0" collapsed="false">
      <c r="A194" s="16"/>
      <c r="B194" s="14" t="str">
        <f aca="false">IF(A194="","",MONTH(A194))</f>
        <v/>
      </c>
      <c r="C194" s="13"/>
      <c r="D194" s="13"/>
      <c r="E194" s="13"/>
      <c r="F194" s="13"/>
      <c r="G194" s="13"/>
      <c r="H194" s="17"/>
      <c r="I194" s="16"/>
      <c r="J194" s="13"/>
      <c r="K194" s="14" t="str">
        <f aca="false">IF(F194="","",IF(J194="","Pendiente OC",IF(COUNTIF(Seguimiento_OC!$A:$A,J194)=0,"OC no registrada",INDEX(Seguimiento_OC!$Y:$Y,MATCH(J194,Seguimiento_OC!$A:$A,0)))))</f>
        <v/>
      </c>
      <c r="L194" s="13"/>
    </row>
    <row r="195" customFormat="false" ht="15" hidden="false" customHeight="false" outlineLevel="0" collapsed="false">
      <c r="A195" s="16"/>
      <c r="B195" s="14" t="str">
        <f aca="false">IF(A195="","",MONTH(A195))</f>
        <v/>
      </c>
      <c r="C195" s="13"/>
      <c r="D195" s="13"/>
      <c r="E195" s="13"/>
      <c r="F195" s="13"/>
      <c r="G195" s="13"/>
      <c r="H195" s="17"/>
      <c r="I195" s="16"/>
      <c r="J195" s="13"/>
      <c r="K195" s="14" t="str">
        <f aca="false">IF(F195="","",IF(J195="","Pendiente OC",IF(COUNTIF(Seguimiento_OC!$A:$A,J195)=0,"OC no registrada",INDEX(Seguimiento_OC!$Y:$Y,MATCH(J195,Seguimiento_OC!$A:$A,0)))))</f>
        <v/>
      </c>
      <c r="L195" s="13"/>
    </row>
    <row r="196" customFormat="false" ht="15" hidden="false" customHeight="false" outlineLevel="0" collapsed="false">
      <c r="A196" s="16"/>
      <c r="B196" s="14" t="str">
        <f aca="false">IF(A196="","",MONTH(A196))</f>
        <v/>
      </c>
      <c r="C196" s="13"/>
      <c r="D196" s="13"/>
      <c r="E196" s="13"/>
      <c r="F196" s="13"/>
      <c r="G196" s="13"/>
      <c r="H196" s="17"/>
      <c r="I196" s="16"/>
      <c r="J196" s="13"/>
      <c r="K196" s="14" t="str">
        <f aca="false">IF(F196="","",IF(J196="","Pendiente OC",IF(COUNTIF(Seguimiento_OC!$A:$A,J196)=0,"OC no registrada",INDEX(Seguimiento_OC!$Y:$Y,MATCH(J196,Seguimiento_OC!$A:$A,0)))))</f>
        <v/>
      </c>
      <c r="L196" s="13"/>
    </row>
    <row r="197" customFormat="false" ht="15" hidden="false" customHeight="false" outlineLevel="0" collapsed="false">
      <c r="A197" s="16"/>
      <c r="B197" s="14" t="str">
        <f aca="false">IF(A197="","",MONTH(A197))</f>
        <v/>
      </c>
      <c r="C197" s="13"/>
      <c r="D197" s="13"/>
      <c r="E197" s="13"/>
      <c r="F197" s="13"/>
      <c r="G197" s="13"/>
      <c r="H197" s="17"/>
      <c r="I197" s="16"/>
      <c r="J197" s="13"/>
      <c r="K197" s="14" t="str">
        <f aca="false">IF(F197="","",IF(J197="","Pendiente OC",IF(COUNTIF(Seguimiento_OC!$A:$A,J197)=0,"OC no registrada",INDEX(Seguimiento_OC!$Y:$Y,MATCH(J197,Seguimiento_OC!$A:$A,0)))))</f>
        <v/>
      </c>
      <c r="L197" s="13"/>
    </row>
    <row r="198" customFormat="false" ht="15" hidden="false" customHeight="false" outlineLevel="0" collapsed="false">
      <c r="A198" s="16"/>
      <c r="B198" s="14" t="str">
        <f aca="false">IF(A198="","",MONTH(A198))</f>
        <v/>
      </c>
      <c r="C198" s="13"/>
      <c r="D198" s="13"/>
      <c r="E198" s="13"/>
      <c r="F198" s="13"/>
      <c r="G198" s="13"/>
      <c r="H198" s="17"/>
      <c r="I198" s="16"/>
      <c r="J198" s="13"/>
      <c r="K198" s="14" t="str">
        <f aca="false">IF(F198="","",IF(J198="","Pendiente OC",IF(COUNTIF(Seguimiento_OC!$A:$A,J198)=0,"OC no registrada",INDEX(Seguimiento_OC!$Y:$Y,MATCH(J198,Seguimiento_OC!$A:$A,0)))))</f>
        <v/>
      </c>
      <c r="L198" s="13"/>
    </row>
    <row r="199" customFormat="false" ht="15" hidden="false" customHeight="false" outlineLevel="0" collapsed="false">
      <c r="A199" s="16"/>
      <c r="B199" s="14" t="str">
        <f aca="false">IF(A199="","",MONTH(A199))</f>
        <v/>
      </c>
      <c r="C199" s="13"/>
      <c r="D199" s="13"/>
      <c r="E199" s="13"/>
      <c r="F199" s="13"/>
      <c r="G199" s="13"/>
      <c r="H199" s="17"/>
      <c r="I199" s="16"/>
      <c r="J199" s="13"/>
      <c r="K199" s="14" t="str">
        <f aca="false">IF(F199="","",IF(J199="","Pendiente OC",IF(COUNTIF(Seguimiento_OC!$A:$A,J199)=0,"OC no registrada",INDEX(Seguimiento_OC!$Y:$Y,MATCH(J199,Seguimiento_OC!$A:$A,0)))))</f>
        <v/>
      </c>
      <c r="L199" s="13"/>
    </row>
    <row r="200" customFormat="false" ht="15" hidden="false" customHeight="false" outlineLevel="0" collapsed="false">
      <c r="A200" s="16"/>
      <c r="B200" s="14" t="str">
        <f aca="false">IF(A200="","",MONTH(A200))</f>
        <v/>
      </c>
      <c r="C200" s="13"/>
      <c r="D200" s="13"/>
      <c r="E200" s="13"/>
      <c r="F200" s="13"/>
      <c r="G200" s="13"/>
      <c r="H200" s="17"/>
      <c r="I200" s="16"/>
      <c r="J200" s="13"/>
      <c r="K200" s="14" t="str">
        <f aca="false">IF(F200="","",IF(J200="","Pendiente OC",IF(COUNTIF(Seguimiento_OC!$A:$A,J200)=0,"OC no registrada",INDEX(Seguimiento_OC!$Y:$Y,MATCH(J200,Seguimiento_OC!$A:$A,0)))))</f>
        <v/>
      </c>
      <c r="L200" s="13"/>
    </row>
    <row r="201" customFormat="false" ht="15" hidden="false" customHeight="false" outlineLevel="0" collapsed="false">
      <c r="A201" s="16"/>
      <c r="B201" s="14" t="str">
        <f aca="false">IF(A201="","",MONTH(A201))</f>
        <v/>
      </c>
      <c r="C201" s="13"/>
      <c r="D201" s="13"/>
      <c r="E201" s="13"/>
      <c r="F201" s="13"/>
      <c r="G201" s="13"/>
      <c r="H201" s="17"/>
      <c r="I201" s="16"/>
      <c r="J201" s="13"/>
      <c r="K201" s="14" t="str">
        <f aca="false">IF(F201="","",IF(J201="","Pendiente OC",IF(COUNTIF(Seguimiento_OC!$A:$A,J201)=0,"OC no registrada",INDEX(Seguimiento_OC!$Y:$Y,MATCH(J201,Seguimiento_OC!$A:$A,0)))))</f>
        <v/>
      </c>
      <c r="L201" s="13"/>
    </row>
    <row r="202" customFormat="false" ht="15" hidden="false" customHeight="false" outlineLevel="0" collapsed="false">
      <c r="A202" s="16"/>
      <c r="B202" s="14" t="str">
        <f aca="false">IF(A202="","",MONTH(A202))</f>
        <v/>
      </c>
      <c r="C202" s="13"/>
      <c r="D202" s="13"/>
      <c r="E202" s="13"/>
      <c r="F202" s="13"/>
      <c r="G202" s="13"/>
      <c r="H202" s="17"/>
      <c r="I202" s="16"/>
      <c r="J202" s="13"/>
      <c r="K202" s="14" t="str">
        <f aca="false">IF(F202="","",IF(J202="","Pendiente OC",IF(COUNTIF(Seguimiento_OC!$A:$A,J202)=0,"OC no registrada",INDEX(Seguimiento_OC!$Y:$Y,MATCH(J202,Seguimiento_OC!$A:$A,0)))))</f>
        <v/>
      </c>
      <c r="L202" s="13"/>
    </row>
    <row r="203" customFormat="false" ht="15" hidden="false" customHeight="false" outlineLevel="0" collapsed="false">
      <c r="A203" s="16"/>
      <c r="B203" s="14" t="str">
        <f aca="false">IF(A203="","",MONTH(A203))</f>
        <v/>
      </c>
      <c r="C203" s="13"/>
      <c r="D203" s="13"/>
      <c r="E203" s="13"/>
      <c r="F203" s="13"/>
      <c r="G203" s="13"/>
      <c r="H203" s="17"/>
      <c r="I203" s="16"/>
      <c r="J203" s="13"/>
      <c r="K203" s="14" t="str">
        <f aca="false">IF(F203="","",IF(J203="","Pendiente OC",IF(COUNTIF(Seguimiento_OC!$A:$A,J203)=0,"OC no registrada",INDEX(Seguimiento_OC!$Y:$Y,MATCH(J203,Seguimiento_OC!$A:$A,0)))))</f>
        <v/>
      </c>
      <c r="L203" s="13"/>
    </row>
    <row r="204" customFormat="false" ht="15" hidden="false" customHeight="false" outlineLevel="0" collapsed="false">
      <c r="A204" s="16"/>
      <c r="B204" s="14" t="str">
        <f aca="false">IF(A204="","",MONTH(A204))</f>
        <v/>
      </c>
      <c r="C204" s="13"/>
      <c r="D204" s="13"/>
      <c r="E204" s="13"/>
      <c r="F204" s="13"/>
      <c r="G204" s="13"/>
      <c r="H204" s="17"/>
      <c r="I204" s="16"/>
      <c r="J204" s="13"/>
      <c r="K204" s="14" t="str">
        <f aca="false">IF(F204="","",IF(J204="","Pendiente OC",IF(COUNTIF(Seguimiento_OC!$A:$A,J204)=0,"OC no registrada",INDEX(Seguimiento_OC!$Y:$Y,MATCH(J204,Seguimiento_OC!$A:$A,0)))))</f>
        <v/>
      </c>
      <c r="L204" s="13"/>
    </row>
    <row r="205" customFormat="false" ht="15" hidden="false" customHeight="false" outlineLevel="0" collapsed="false">
      <c r="A205" s="16"/>
      <c r="B205" s="14" t="str">
        <f aca="false">IF(A205="","",MONTH(A205))</f>
        <v/>
      </c>
      <c r="C205" s="13"/>
      <c r="D205" s="13"/>
      <c r="E205" s="13"/>
      <c r="F205" s="13"/>
      <c r="G205" s="13"/>
      <c r="H205" s="17"/>
      <c r="I205" s="16"/>
      <c r="J205" s="13"/>
      <c r="K205" s="14" t="str">
        <f aca="false">IF(F205="","",IF(J205="","Pendiente OC",IF(COUNTIF(Seguimiento_OC!$A:$A,J205)=0,"OC no registrada",INDEX(Seguimiento_OC!$Y:$Y,MATCH(J205,Seguimiento_OC!$A:$A,0)))))</f>
        <v/>
      </c>
      <c r="L205" s="13"/>
    </row>
    <row r="206" customFormat="false" ht="15" hidden="false" customHeight="false" outlineLevel="0" collapsed="false">
      <c r="A206" s="16"/>
      <c r="B206" s="14" t="str">
        <f aca="false">IF(A206="","",MONTH(A206))</f>
        <v/>
      </c>
      <c r="C206" s="13"/>
      <c r="D206" s="13"/>
      <c r="E206" s="13"/>
      <c r="F206" s="13"/>
      <c r="G206" s="13"/>
      <c r="H206" s="17"/>
      <c r="I206" s="16"/>
      <c r="J206" s="13"/>
      <c r="K206" s="14" t="str">
        <f aca="false">IF(F206="","",IF(J206="","Pendiente OC",IF(COUNTIF(Seguimiento_OC!$A:$A,J206)=0,"OC no registrada",INDEX(Seguimiento_OC!$Y:$Y,MATCH(J206,Seguimiento_OC!$A:$A,0)))))</f>
        <v/>
      </c>
      <c r="L206" s="13"/>
    </row>
    <row r="207" customFormat="false" ht="15" hidden="false" customHeight="false" outlineLevel="0" collapsed="false">
      <c r="A207" s="16"/>
      <c r="B207" s="14" t="str">
        <f aca="false">IF(A207="","",MONTH(A207))</f>
        <v/>
      </c>
      <c r="C207" s="13"/>
      <c r="D207" s="13"/>
      <c r="E207" s="13"/>
      <c r="F207" s="13"/>
      <c r="G207" s="13"/>
      <c r="H207" s="17"/>
      <c r="I207" s="16"/>
      <c r="J207" s="13"/>
      <c r="K207" s="14" t="str">
        <f aca="false">IF(F207="","",IF(J207="","Pendiente OC",IF(COUNTIF(Seguimiento_OC!$A:$A,J207)=0,"OC no registrada",INDEX(Seguimiento_OC!$Y:$Y,MATCH(J207,Seguimiento_OC!$A:$A,0)))))</f>
        <v/>
      </c>
      <c r="L207" s="13"/>
    </row>
    <row r="208" customFormat="false" ht="15" hidden="false" customHeight="false" outlineLevel="0" collapsed="false">
      <c r="A208" s="16"/>
      <c r="B208" s="14" t="str">
        <f aca="false">IF(A208="","",MONTH(A208))</f>
        <v/>
      </c>
      <c r="C208" s="13"/>
      <c r="D208" s="13"/>
      <c r="E208" s="13"/>
      <c r="F208" s="13"/>
      <c r="G208" s="13"/>
      <c r="H208" s="17"/>
      <c r="I208" s="16"/>
      <c r="J208" s="13"/>
      <c r="K208" s="14" t="str">
        <f aca="false">IF(F208="","",IF(J208="","Pendiente OC",IF(COUNTIF(Seguimiento_OC!$A:$A,J208)=0,"OC no registrada",INDEX(Seguimiento_OC!$Y:$Y,MATCH(J208,Seguimiento_OC!$A:$A,0)))))</f>
        <v/>
      </c>
      <c r="L208" s="13"/>
    </row>
    <row r="209" customFormat="false" ht="15" hidden="false" customHeight="false" outlineLevel="0" collapsed="false">
      <c r="A209" s="16"/>
      <c r="B209" s="14" t="str">
        <f aca="false">IF(A209="","",MONTH(A209))</f>
        <v/>
      </c>
      <c r="C209" s="13"/>
      <c r="D209" s="13"/>
      <c r="E209" s="13"/>
      <c r="F209" s="13"/>
      <c r="G209" s="13"/>
      <c r="H209" s="17"/>
      <c r="I209" s="16"/>
      <c r="J209" s="13"/>
      <c r="K209" s="14" t="str">
        <f aca="false">IF(F209="","",IF(J209="","Pendiente OC",IF(COUNTIF(Seguimiento_OC!$A:$A,J209)=0,"OC no registrada",INDEX(Seguimiento_OC!$Y:$Y,MATCH(J209,Seguimiento_OC!$A:$A,0)))))</f>
        <v/>
      </c>
      <c r="L209" s="13"/>
    </row>
    <row r="210" customFormat="false" ht="15" hidden="false" customHeight="false" outlineLevel="0" collapsed="false">
      <c r="A210" s="16"/>
      <c r="B210" s="14" t="str">
        <f aca="false">IF(A210="","",MONTH(A210))</f>
        <v/>
      </c>
      <c r="C210" s="13"/>
      <c r="D210" s="13"/>
      <c r="E210" s="13"/>
      <c r="F210" s="13"/>
      <c r="G210" s="13"/>
      <c r="H210" s="17"/>
      <c r="I210" s="16"/>
      <c r="J210" s="13"/>
      <c r="K210" s="14" t="str">
        <f aca="false">IF(F210="","",IF(J210="","Pendiente OC",IF(COUNTIF(Seguimiento_OC!$A:$A,J210)=0,"OC no registrada",INDEX(Seguimiento_OC!$Y:$Y,MATCH(J210,Seguimiento_OC!$A:$A,0)))))</f>
        <v/>
      </c>
      <c r="L210" s="13"/>
    </row>
    <row r="211" customFormat="false" ht="15" hidden="false" customHeight="false" outlineLevel="0" collapsed="false">
      <c r="A211" s="16"/>
      <c r="B211" s="14" t="str">
        <f aca="false">IF(A211="","",MONTH(A211))</f>
        <v/>
      </c>
      <c r="C211" s="13"/>
      <c r="D211" s="13"/>
      <c r="E211" s="13"/>
      <c r="F211" s="13"/>
      <c r="G211" s="13"/>
      <c r="H211" s="17"/>
      <c r="I211" s="16"/>
      <c r="J211" s="13"/>
      <c r="K211" s="14" t="str">
        <f aca="false">IF(F211="","",IF(J211="","Pendiente OC",IF(COUNTIF(Seguimiento_OC!$A:$A,J211)=0,"OC no registrada",INDEX(Seguimiento_OC!$Y:$Y,MATCH(J211,Seguimiento_OC!$A:$A,0)))))</f>
        <v/>
      </c>
      <c r="L211" s="13"/>
    </row>
    <row r="212" customFormat="false" ht="15" hidden="false" customHeight="false" outlineLevel="0" collapsed="false">
      <c r="A212" s="16"/>
      <c r="B212" s="14" t="str">
        <f aca="false">IF(A212="","",MONTH(A212))</f>
        <v/>
      </c>
      <c r="C212" s="13"/>
      <c r="D212" s="13"/>
      <c r="E212" s="13"/>
      <c r="F212" s="13"/>
      <c r="G212" s="13"/>
      <c r="H212" s="17"/>
      <c r="I212" s="16"/>
      <c r="J212" s="13"/>
      <c r="K212" s="14" t="str">
        <f aca="false">IF(F212="","",IF(J212="","Pendiente OC",IF(COUNTIF(Seguimiento_OC!$A:$A,J212)=0,"OC no registrada",INDEX(Seguimiento_OC!$Y:$Y,MATCH(J212,Seguimiento_OC!$A:$A,0)))))</f>
        <v/>
      </c>
      <c r="L212" s="13"/>
    </row>
    <row r="213" customFormat="false" ht="15" hidden="false" customHeight="false" outlineLevel="0" collapsed="false">
      <c r="A213" s="16"/>
      <c r="B213" s="14" t="str">
        <f aca="false">IF(A213="","",MONTH(A213))</f>
        <v/>
      </c>
      <c r="C213" s="13"/>
      <c r="D213" s="13"/>
      <c r="E213" s="13"/>
      <c r="F213" s="13"/>
      <c r="G213" s="13"/>
      <c r="H213" s="17"/>
      <c r="I213" s="16"/>
      <c r="J213" s="13"/>
      <c r="K213" s="14" t="str">
        <f aca="false">IF(F213="","",IF(J213="","Pendiente OC",IF(COUNTIF(Seguimiento_OC!$A:$A,J213)=0,"OC no registrada",INDEX(Seguimiento_OC!$Y:$Y,MATCH(J213,Seguimiento_OC!$A:$A,0)))))</f>
        <v/>
      </c>
      <c r="L213" s="13"/>
    </row>
    <row r="214" customFormat="false" ht="15" hidden="false" customHeight="false" outlineLevel="0" collapsed="false">
      <c r="A214" s="16"/>
      <c r="B214" s="14" t="str">
        <f aca="false">IF(A214="","",MONTH(A214))</f>
        <v/>
      </c>
      <c r="C214" s="13"/>
      <c r="D214" s="13"/>
      <c r="E214" s="13"/>
      <c r="F214" s="13"/>
      <c r="G214" s="13"/>
      <c r="H214" s="17"/>
      <c r="I214" s="16"/>
      <c r="J214" s="13"/>
      <c r="K214" s="14" t="str">
        <f aca="false">IF(F214="","",IF(J214="","Pendiente OC",IF(COUNTIF(Seguimiento_OC!$A:$A,J214)=0,"OC no registrada",INDEX(Seguimiento_OC!$Y:$Y,MATCH(J214,Seguimiento_OC!$A:$A,0)))))</f>
        <v/>
      </c>
      <c r="L214" s="13"/>
    </row>
    <row r="215" customFormat="false" ht="15" hidden="false" customHeight="false" outlineLevel="0" collapsed="false">
      <c r="A215" s="16"/>
      <c r="B215" s="14" t="str">
        <f aca="false">IF(A215="","",MONTH(A215))</f>
        <v/>
      </c>
      <c r="C215" s="13"/>
      <c r="D215" s="13"/>
      <c r="E215" s="13"/>
      <c r="F215" s="13"/>
      <c r="G215" s="13"/>
      <c r="H215" s="17"/>
      <c r="I215" s="16"/>
      <c r="J215" s="13"/>
      <c r="K215" s="14" t="str">
        <f aca="false">IF(F215="","",IF(J215="","Pendiente OC",IF(COUNTIF(Seguimiento_OC!$A:$A,J215)=0,"OC no registrada",INDEX(Seguimiento_OC!$Y:$Y,MATCH(J215,Seguimiento_OC!$A:$A,0)))))</f>
        <v/>
      </c>
      <c r="L215" s="13"/>
    </row>
    <row r="216" customFormat="false" ht="15" hidden="false" customHeight="false" outlineLevel="0" collapsed="false">
      <c r="A216" s="16"/>
      <c r="B216" s="14" t="str">
        <f aca="false">IF(A216="","",MONTH(A216))</f>
        <v/>
      </c>
      <c r="C216" s="13"/>
      <c r="D216" s="13"/>
      <c r="E216" s="13"/>
      <c r="F216" s="13"/>
      <c r="G216" s="13"/>
      <c r="H216" s="17"/>
      <c r="I216" s="16"/>
      <c r="J216" s="13"/>
      <c r="K216" s="14" t="str">
        <f aca="false">IF(F216="","",IF(J216="","Pendiente OC",IF(COUNTIF(Seguimiento_OC!$A:$A,J216)=0,"OC no registrada",INDEX(Seguimiento_OC!$Y:$Y,MATCH(J216,Seguimiento_OC!$A:$A,0)))))</f>
        <v/>
      </c>
      <c r="L216" s="13"/>
    </row>
    <row r="217" customFormat="false" ht="15" hidden="false" customHeight="false" outlineLevel="0" collapsed="false">
      <c r="A217" s="16"/>
      <c r="B217" s="14" t="str">
        <f aca="false">IF(A217="","",MONTH(A217))</f>
        <v/>
      </c>
      <c r="C217" s="13"/>
      <c r="D217" s="13"/>
      <c r="E217" s="13"/>
      <c r="F217" s="13"/>
      <c r="G217" s="13"/>
      <c r="H217" s="17"/>
      <c r="I217" s="16"/>
      <c r="J217" s="13"/>
      <c r="K217" s="14" t="str">
        <f aca="false">IF(F217="","",IF(J217="","Pendiente OC",IF(COUNTIF(Seguimiento_OC!$A:$A,J217)=0,"OC no registrada",INDEX(Seguimiento_OC!$Y:$Y,MATCH(J217,Seguimiento_OC!$A:$A,0)))))</f>
        <v/>
      </c>
      <c r="L217" s="13"/>
    </row>
    <row r="218" customFormat="false" ht="15" hidden="false" customHeight="false" outlineLevel="0" collapsed="false">
      <c r="A218" s="16"/>
      <c r="B218" s="14" t="str">
        <f aca="false">IF(A218="","",MONTH(A218))</f>
        <v/>
      </c>
      <c r="C218" s="13"/>
      <c r="D218" s="13"/>
      <c r="E218" s="13"/>
      <c r="F218" s="13"/>
      <c r="G218" s="13"/>
      <c r="H218" s="17"/>
      <c r="I218" s="16"/>
      <c r="J218" s="13"/>
      <c r="K218" s="14" t="str">
        <f aca="false">IF(F218="","",IF(J218="","Pendiente OC",IF(COUNTIF(Seguimiento_OC!$A:$A,J218)=0,"OC no registrada",INDEX(Seguimiento_OC!$Y:$Y,MATCH(J218,Seguimiento_OC!$A:$A,0)))))</f>
        <v/>
      </c>
      <c r="L218" s="13"/>
    </row>
    <row r="219" customFormat="false" ht="15" hidden="false" customHeight="false" outlineLevel="0" collapsed="false">
      <c r="A219" s="16"/>
      <c r="B219" s="14" t="str">
        <f aca="false">IF(A219="","",MONTH(A219))</f>
        <v/>
      </c>
      <c r="C219" s="13"/>
      <c r="D219" s="13"/>
      <c r="E219" s="13"/>
      <c r="F219" s="13"/>
      <c r="G219" s="13"/>
      <c r="H219" s="17"/>
      <c r="I219" s="16"/>
      <c r="J219" s="13"/>
      <c r="K219" s="14" t="str">
        <f aca="false">IF(F219="","",IF(J219="","Pendiente OC",IF(COUNTIF(Seguimiento_OC!$A:$A,J219)=0,"OC no registrada",INDEX(Seguimiento_OC!$Y:$Y,MATCH(J219,Seguimiento_OC!$A:$A,0)))))</f>
        <v/>
      </c>
      <c r="L219" s="13"/>
    </row>
    <row r="220" customFormat="false" ht="15" hidden="false" customHeight="false" outlineLevel="0" collapsed="false">
      <c r="A220" s="16"/>
      <c r="B220" s="14" t="str">
        <f aca="false">IF(A220="","",MONTH(A220))</f>
        <v/>
      </c>
      <c r="C220" s="13"/>
      <c r="D220" s="13"/>
      <c r="E220" s="13"/>
      <c r="F220" s="13"/>
      <c r="G220" s="13"/>
      <c r="H220" s="17"/>
      <c r="I220" s="16"/>
      <c r="J220" s="13"/>
      <c r="K220" s="14" t="str">
        <f aca="false">IF(F220="","",IF(J220="","Pendiente OC",IF(COUNTIF(Seguimiento_OC!$A:$A,J220)=0,"OC no registrada",INDEX(Seguimiento_OC!$Y:$Y,MATCH(J220,Seguimiento_OC!$A:$A,0)))))</f>
        <v/>
      </c>
      <c r="L220" s="13"/>
    </row>
    <row r="221" customFormat="false" ht="15" hidden="false" customHeight="false" outlineLevel="0" collapsed="false">
      <c r="A221" s="16"/>
      <c r="B221" s="14" t="str">
        <f aca="false">IF(A221="","",MONTH(A221))</f>
        <v/>
      </c>
      <c r="C221" s="13"/>
      <c r="D221" s="13"/>
      <c r="E221" s="13"/>
      <c r="F221" s="13"/>
      <c r="G221" s="13"/>
      <c r="H221" s="17"/>
      <c r="I221" s="16"/>
      <c r="J221" s="13"/>
      <c r="K221" s="14" t="str">
        <f aca="false">IF(F221="","",IF(J221="","Pendiente OC",IF(COUNTIF(Seguimiento_OC!$A:$A,J221)=0,"OC no registrada",INDEX(Seguimiento_OC!$Y:$Y,MATCH(J221,Seguimiento_OC!$A:$A,0)))))</f>
        <v/>
      </c>
      <c r="L221" s="13"/>
    </row>
    <row r="222" customFormat="false" ht="15" hidden="false" customHeight="false" outlineLevel="0" collapsed="false">
      <c r="A222" s="16"/>
      <c r="B222" s="14" t="str">
        <f aca="false">IF(A222="","",MONTH(A222))</f>
        <v/>
      </c>
      <c r="C222" s="13"/>
      <c r="D222" s="13"/>
      <c r="E222" s="13"/>
      <c r="F222" s="13"/>
      <c r="G222" s="13"/>
      <c r="H222" s="17"/>
      <c r="I222" s="16"/>
      <c r="J222" s="13"/>
      <c r="K222" s="14" t="str">
        <f aca="false">IF(F222="","",IF(J222="","Pendiente OC",IF(COUNTIF(Seguimiento_OC!$A:$A,J222)=0,"OC no registrada",INDEX(Seguimiento_OC!$Y:$Y,MATCH(J222,Seguimiento_OC!$A:$A,0)))))</f>
        <v/>
      </c>
      <c r="L222" s="13"/>
    </row>
    <row r="223" customFormat="false" ht="15" hidden="false" customHeight="false" outlineLevel="0" collapsed="false">
      <c r="A223" s="16"/>
      <c r="B223" s="14" t="str">
        <f aca="false">IF(A223="","",MONTH(A223))</f>
        <v/>
      </c>
      <c r="C223" s="13"/>
      <c r="D223" s="13"/>
      <c r="E223" s="13"/>
      <c r="F223" s="13"/>
      <c r="G223" s="13"/>
      <c r="H223" s="17"/>
      <c r="I223" s="16"/>
      <c r="J223" s="13"/>
      <c r="K223" s="14" t="str">
        <f aca="false">IF(F223="","",IF(J223="","Pendiente OC",IF(COUNTIF(Seguimiento_OC!$A:$A,J223)=0,"OC no registrada",INDEX(Seguimiento_OC!$Y:$Y,MATCH(J223,Seguimiento_OC!$A:$A,0)))))</f>
        <v/>
      </c>
      <c r="L223" s="13"/>
    </row>
    <row r="224" customFormat="false" ht="15" hidden="false" customHeight="false" outlineLevel="0" collapsed="false">
      <c r="A224" s="16"/>
      <c r="B224" s="14" t="str">
        <f aca="false">IF(A224="","",MONTH(A224))</f>
        <v/>
      </c>
      <c r="C224" s="13"/>
      <c r="D224" s="13"/>
      <c r="E224" s="13"/>
      <c r="F224" s="13"/>
      <c r="G224" s="13"/>
      <c r="H224" s="17"/>
      <c r="I224" s="16"/>
      <c r="J224" s="13"/>
      <c r="K224" s="14" t="str">
        <f aca="false">IF(F224="","",IF(J224="","Pendiente OC",IF(COUNTIF(Seguimiento_OC!$A:$A,J224)=0,"OC no registrada",INDEX(Seguimiento_OC!$Y:$Y,MATCH(J224,Seguimiento_OC!$A:$A,0)))))</f>
        <v/>
      </c>
      <c r="L224" s="13"/>
    </row>
    <row r="225" customFormat="false" ht="15" hidden="false" customHeight="false" outlineLevel="0" collapsed="false">
      <c r="A225" s="16"/>
      <c r="B225" s="14" t="str">
        <f aca="false">IF(A225="","",MONTH(A225))</f>
        <v/>
      </c>
      <c r="C225" s="13"/>
      <c r="D225" s="13"/>
      <c r="E225" s="13"/>
      <c r="F225" s="13"/>
      <c r="G225" s="13"/>
      <c r="H225" s="17"/>
      <c r="I225" s="16"/>
      <c r="J225" s="13"/>
      <c r="K225" s="14" t="str">
        <f aca="false">IF(F225="","",IF(J225="","Pendiente OC",IF(COUNTIF(Seguimiento_OC!$A:$A,J225)=0,"OC no registrada",INDEX(Seguimiento_OC!$Y:$Y,MATCH(J225,Seguimiento_OC!$A:$A,0)))))</f>
        <v/>
      </c>
      <c r="L225" s="13"/>
    </row>
    <row r="226" customFormat="false" ht="15" hidden="false" customHeight="false" outlineLevel="0" collapsed="false">
      <c r="A226" s="16"/>
      <c r="B226" s="14" t="str">
        <f aca="false">IF(A226="","",MONTH(A226))</f>
        <v/>
      </c>
      <c r="C226" s="13"/>
      <c r="D226" s="13"/>
      <c r="E226" s="13"/>
      <c r="F226" s="13"/>
      <c r="G226" s="13"/>
      <c r="H226" s="17"/>
      <c r="I226" s="16"/>
      <c r="J226" s="13"/>
      <c r="K226" s="14" t="str">
        <f aca="false">IF(F226="","",IF(J226="","Pendiente OC",IF(COUNTIF(Seguimiento_OC!$A:$A,J226)=0,"OC no registrada",INDEX(Seguimiento_OC!$Y:$Y,MATCH(J226,Seguimiento_OC!$A:$A,0)))))</f>
        <v/>
      </c>
      <c r="L226" s="13"/>
    </row>
    <row r="227" customFormat="false" ht="15" hidden="false" customHeight="false" outlineLevel="0" collapsed="false">
      <c r="A227" s="16"/>
      <c r="B227" s="14" t="str">
        <f aca="false">IF(A227="","",MONTH(A227))</f>
        <v/>
      </c>
      <c r="C227" s="13"/>
      <c r="D227" s="13"/>
      <c r="E227" s="13"/>
      <c r="F227" s="13"/>
      <c r="G227" s="13"/>
      <c r="H227" s="17"/>
      <c r="I227" s="16"/>
      <c r="J227" s="13"/>
      <c r="K227" s="14" t="str">
        <f aca="false">IF(F227="","",IF(J227="","Pendiente OC",IF(COUNTIF(Seguimiento_OC!$A:$A,J227)=0,"OC no registrada",INDEX(Seguimiento_OC!$Y:$Y,MATCH(J227,Seguimiento_OC!$A:$A,0)))))</f>
        <v/>
      </c>
      <c r="L227" s="13"/>
    </row>
    <row r="228" customFormat="false" ht="15" hidden="false" customHeight="false" outlineLevel="0" collapsed="false">
      <c r="A228" s="16"/>
      <c r="B228" s="14" t="str">
        <f aca="false">IF(A228="","",MONTH(A228))</f>
        <v/>
      </c>
      <c r="C228" s="13"/>
      <c r="D228" s="13"/>
      <c r="E228" s="13"/>
      <c r="F228" s="13"/>
      <c r="G228" s="13"/>
      <c r="H228" s="17"/>
      <c r="I228" s="16"/>
      <c r="J228" s="13"/>
      <c r="K228" s="14" t="str">
        <f aca="false">IF(F228="","",IF(J228="","Pendiente OC",IF(COUNTIF(Seguimiento_OC!$A:$A,J228)=0,"OC no registrada",INDEX(Seguimiento_OC!$Y:$Y,MATCH(J228,Seguimiento_OC!$A:$A,0)))))</f>
        <v/>
      </c>
      <c r="L228" s="13"/>
    </row>
    <row r="229" customFormat="false" ht="15" hidden="false" customHeight="false" outlineLevel="0" collapsed="false">
      <c r="A229" s="16"/>
      <c r="B229" s="14" t="str">
        <f aca="false">IF(A229="","",MONTH(A229))</f>
        <v/>
      </c>
      <c r="C229" s="13"/>
      <c r="D229" s="13"/>
      <c r="E229" s="13"/>
      <c r="F229" s="13"/>
      <c r="G229" s="13"/>
      <c r="H229" s="17"/>
      <c r="I229" s="16"/>
      <c r="J229" s="13"/>
      <c r="K229" s="14" t="str">
        <f aca="false">IF(F229="","",IF(J229="","Pendiente OC",IF(COUNTIF(Seguimiento_OC!$A:$A,J229)=0,"OC no registrada",INDEX(Seguimiento_OC!$Y:$Y,MATCH(J229,Seguimiento_OC!$A:$A,0)))))</f>
        <v/>
      </c>
      <c r="L229" s="13"/>
    </row>
    <row r="230" customFormat="false" ht="15" hidden="false" customHeight="false" outlineLevel="0" collapsed="false">
      <c r="A230" s="16"/>
      <c r="B230" s="14" t="str">
        <f aca="false">IF(A230="","",MONTH(A230))</f>
        <v/>
      </c>
      <c r="C230" s="13"/>
      <c r="D230" s="13"/>
      <c r="E230" s="13"/>
      <c r="F230" s="13"/>
      <c r="G230" s="13"/>
      <c r="H230" s="17"/>
      <c r="I230" s="16"/>
      <c r="J230" s="13"/>
      <c r="K230" s="14" t="str">
        <f aca="false">IF(F230="","",IF(J230="","Pendiente OC",IF(COUNTIF(Seguimiento_OC!$A:$A,J230)=0,"OC no registrada",INDEX(Seguimiento_OC!$Y:$Y,MATCH(J230,Seguimiento_OC!$A:$A,0)))))</f>
        <v/>
      </c>
      <c r="L230" s="13"/>
    </row>
    <row r="231" customFormat="false" ht="15" hidden="false" customHeight="false" outlineLevel="0" collapsed="false">
      <c r="A231" s="16"/>
      <c r="B231" s="14" t="str">
        <f aca="false">IF(A231="","",MONTH(A231))</f>
        <v/>
      </c>
      <c r="C231" s="13"/>
      <c r="D231" s="13"/>
      <c r="E231" s="13"/>
      <c r="F231" s="13"/>
      <c r="G231" s="13"/>
      <c r="H231" s="17"/>
      <c r="I231" s="16"/>
      <c r="J231" s="13"/>
      <c r="K231" s="14" t="str">
        <f aca="false">IF(F231="","",IF(J231="","Pendiente OC",IF(COUNTIF(Seguimiento_OC!$A:$A,J231)=0,"OC no registrada",INDEX(Seguimiento_OC!$Y:$Y,MATCH(J231,Seguimiento_OC!$A:$A,0)))))</f>
        <v/>
      </c>
      <c r="L231" s="13"/>
    </row>
    <row r="232" customFormat="false" ht="15" hidden="false" customHeight="false" outlineLevel="0" collapsed="false">
      <c r="A232" s="16"/>
      <c r="B232" s="14" t="str">
        <f aca="false">IF(A232="","",MONTH(A232))</f>
        <v/>
      </c>
      <c r="C232" s="13"/>
      <c r="D232" s="13"/>
      <c r="E232" s="13"/>
      <c r="F232" s="13"/>
      <c r="G232" s="13"/>
      <c r="H232" s="17"/>
      <c r="I232" s="16"/>
      <c r="J232" s="13"/>
      <c r="K232" s="14" t="str">
        <f aca="false">IF(F232="","",IF(J232="","Pendiente OC",IF(COUNTIF(Seguimiento_OC!$A:$A,J232)=0,"OC no registrada",INDEX(Seguimiento_OC!$Y:$Y,MATCH(J232,Seguimiento_OC!$A:$A,0)))))</f>
        <v/>
      </c>
      <c r="L232" s="13"/>
    </row>
    <row r="233" customFormat="false" ht="15" hidden="false" customHeight="false" outlineLevel="0" collapsed="false">
      <c r="A233" s="16"/>
      <c r="B233" s="14" t="str">
        <f aca="false">IF(A233="","",MONTH(A233))</f>
        <v/>
      </c>
      <c r="C233" s="13"/>
      <c r="D233" s="13"/>
      <c r="E233" s="13"/>
      <c r="F233" s="13"/>
      <c r="G233" s="13"/>
      <c r="H233" s="17"/>
      <c r="I233" s="16"/>
      <c r="J233" s="13"/>
      <c r="K233" s="14" t="str">
        <f aca="false">IF(F233="","",IF(J233="","Pendiente OC",IF(COUNTIF(Seguimiento_OC!$A:$A,J233)=0,"OC no registrada",INDEX(Seguimiento_OC!$Y:$Y,MATCH(J233,Seguimiento_OC!$A:$A,0)))))</f>
        <v/>
      </c>
      <c r="L233" s="13"/>
    </row>
    <row r="234" customFormat="false" ht="15" hidden="false" customHeight="false" outlineLevel="0" collapsed="false">
      <c r="A234" s="16"/>
      <c r="B234" s="14" t="str">
        <f aca="false">IF(A234="","",MONTH(A234))</f>
        <v/>
      </c>
      <c r="C234" s="13"/>
      <c r="D234" s="13"/>
      <c r="E234" s="13"/>
      <c r="F234" s="13"/>
      <c r="G234" s="13"/>
      <c r="H234" s="17"/>
      <c r="I234" s="16"/>
      <c r="J234" s="13"/>
      <c r="K234" s="14" t="str">
        <f aca="false">IF(F234="","",IF(J234="","Pendiente OC",IF(COUNTIF(Seguimiento_OC!$A:$A,J234)=0,"OC no registrada",INDEX(Seguimiento_OC!$Y:$Y,MATCH(J234,Seguimiento_OC!$A:$A,0)))))</f>
        <v/>
      </c>
      <c r="L234" s="13"/>
    </row>
    <row r="235" customFormat="false" ht="15" hidden="false" customHeight="false" outlineLevel="0" collapsed="false">
      <c r="A235" s="16"/>
      <c r="B235" s="14" t="str">
        <f aca="false">IF(A235="","",MONTH(A235))</f>
        <v/>
      </c>
      <c r="C235" s="13"/>
      <c r="D235" s="13"/>
      <c r="E235" s="13"/>
      <c r="F235" s="13"/>
      <c r="G235" s="13"/>
      <c r="H235" s="17"/>
      <c r="I235" s="16"/>
      <c r="J235" s="13"/>
      <c r="K235" s="14" t="str">
        <f aca="false">IF(F235="","",IF(J235="","Pendiente OC",IF(COUNTIF(Seguimiento_OC!$A:$A,J235)=0,"OC no registrada",INDEX(Seguimiento_OC!$Y:$Y,MATCH(J235,Seguimiento_OC!$A:$A,0)))))</f>
        <v/>
      </c>
      <c r="L235" s="13"/>
    </row>
    <row r="236" customFormat="false" ht="15" hidden="false" customHeight="false" outlineLevel="0" collapsed="false">
      <c r="A236" s="16"/>
      <c r="B236" s="14" t="str">
        <f aca="false">IF(A236="","",MONTH(A236))</f>
        <v/>
      </c>
      <c r="C236" s="13"/>
      <c r="D236" s="13"/>
      <c r="E236" s="13"/>
      <c r="F236" s="13"/>
      <c r="G236" s="13"/>
      <c r="H236" s="17"/>
      <c r="I236" s="16"/>
      <c r="J236" s="13"/>
      <c r="K236" s="14" t="str">
        <f aca="false">IF(F236="","",IF(J236="","Pendiente OC",IF(COUNTIF(Seguimiento_OC!$A:$A,J236)=0,"OC no registrada",INDEX(Seguimiento_OC!$Y:$Y,MATCH(J236,Seguimiento_OC!$A:$A,0)))))</f>
        <v/>
      </c>
      <c r="L236" s="13"/>
    </row>
    <row r="237" customFormat="false" ht="15" hidden="false" customHeight="false" outlineLevel="0" collapsed="false">
      <c r="A237" s="16"/>
      <c r="B237" s="14" t="str">
        <f aca="false">IF(A237="","",MONTH(A237))</f>
        <v/>
      </c>
      <c r="C237" s="13"/>
      <c r="D237" s="13"/>
      <c r="E237" s="13"/>
      <c r="F237" s="13"/>
      <c r="G237" s="13"/>
      <c r="H237" s="17"/>
      <c r="I237" s="16"/>
      <c r="J237" s="13"/>
      <c r="K237" s="14" t="str">
        <f aca="false">IF(F237="","",IF(J237="","Pendiente OC",IF(COUNTIF(Seguimiento_OC!$A:$A,J237)=0,"OC no registrada",INDEX(Seguimiento_OC!$Y:$Y,MATCH(J237,Seguimiento_OC!$A:$A,0)))))</f>
        <v/>
      </c>
      <c r="L237" s="13"/>
    </row>
    <row r="238" customFormat="false" ht="15" hidden="false" customHeight="false" outlineLevel="0" collapsed="false">
      <c r="A238" s="16"/>
      <c r="B238" s="14" t="str">
        <f aca="false">IF(A238="","",MONTH(A238))</f>
        <v/>
      </c>
      <c r="C238" s="13"/>
      <c r="D238" s="13"/>
      <c r="E238" s="13"/>
      <c r="F238" s="13"/>
      <c r="G238" s="13"/>
      <c r="H238" s="17"/>
      <c r="I238" s="16"/>
      <c r="J238" s="13"/>
      <c r="K238" s="14" t="str">
        <f aca="false">IF(F238="","",IF(J238="","Pendiente OC",IF(COUNTIF(Seguimiento_OC!$A:$A,J238)=0,"OC no registrada",INDEX(Seguimiento_OC!$Y:$Y,MATCH(J238,Seguimiento_OC!$A:$A,0)))))</f>
        <v/>
      </c>
      <c r="L238" s="13"/>
    </row>
    <row r="239" customFormat="false" ht="15" hidden="false" customHeight="false" outlineLevel="0" collapsed="false">
      <c r="A239" s="16"/>
      <c r="B239" s="14" t="str">
        <f aca="false">IF(A239="","",MONTH(A239))</f>
        <v/>
      </c>
      <c r="C239" s="13"/>
      <c r="D239" s="13"/>
      <c r="E239" s="13"/>
      <c r="F239" s="13"/>
      <c r="G239" s="13"/>
      <c r="H239" s="17"/>
      <c r="I239" s="16"/>
      <c r="J239" s="13"/>
      <c r="K239" s="14" t="str">
        <f aca="false">IF(F239="","",IF(J239="","Pendiente OC",IF(COUNTIF(Seguimiento_OC!$A:$A,J239)=0,"OC no registrada",INDEX(Seguimiento_OC!$Y:$Y,MATCH(J239,Seguimiento_OC!$A:$A,0)))))</f>
        <v/>
      </c>
      <c r="L239" s="13"/>
    </row>
    <row r="240" customFormat="false" ht="15" hidden="false" customHeight="false" outlineLevel="0" collapsed="false">
      <c r="A240" s="16"/>
      <c r="B240" s="14" t="str">
        <f aca="false">IF(A240="","",MONTH(A240))</f>
        <v/>
      </c>
      <c r="C240" s="13"/>
      <c r="D240" s="13"/>
      <c r="E240" s="13"/>
      <c r="F240" s="13"/>
      <c r="G240" s="13"/>
      <c r="H240" s="17"/>
      <c r="I240" s="16"/>
      <c r="J240" s="13"/>
      <c r="K240" s="14" t="str">
        <f aca="false">IF(F240="","",IF(J240="","Pendiente OC",IF(COUNTIF(Seguimiento_OC!$A:$A,J240)=0,"OC no registrada",INDEX(Seguimiento_OC!$Y:$Y,MATCH(J240,Seguimiento_OC!$A:$A,0)))))</f>
        <v/>
      </c>
      <c r="L240" s="13"/>
    </row>
    <row r="241" customFormat="false" ht="15" hidden="false" customHeight="false" outlineLevel="0" collapsed="false">
      <c r="A241" s="16"/>
      <c r="B241" s="14" t="str">
        <f aca="false">IF(A241="","",MONTH(A241))</f>
        <v/>
      </c>
      <c r="C241" s="13"/>
      <c r="D241" s="13"/>
      <c r="E241" s="13"/>
      <c r="F241" s="13"/>
      <c r="G241" s="13"/>
      <c r="H241" s="17"/>
      <c r="I241" s="16"/>
      <c r="J241" s="13"/>
      <c r="K241" s="14" t="str">
        <f aca="false">IF(F241="","",IF(J241="","Pendiente OC",IF(COUNTIF(Seguimiento_OC!$A:$A,J241)=0,"OC no registrada",INDEX(Seguimiento_OC!$Y:$Y,MATCH(J241,Seguimiento_OC!$A:$A,0)))))</f>
        <v/>
      </c>
      <c r="L241" s="13"/>
    </row>
    <row r="242" customFormat="false" ht="15" hidden="false" customHeight="false" outlineLevel="0" collapsed="false">
      <c r="A242" s="16"/>
      <c r="B242" s="14" t="str">
        <f aca="false">IF(A242="","",MONTH(A242))</f>
        <v/>
      </c>
      <c r="C242" s="13"/>
      <c r="D242" s="13"/>
      <c r="E242" s="13"/>
      <c r="F242" s="13"/>
      <c r="G242" s="13"/>
      <c r="H242" s="17"/>
      <c r="I242" s="16"/>
      <c r="J242" s="13"/>
      <c r="K242" s="14" t="str">
        <f aca="false">IF(F242="","",IF(J242="","Pendiente OC",IF(COUNTIF(Seguimiento_OC!$A:$A,J242)=0,"OC no registrada",INDEX(Seguimiento_OC!$Y:$Y,MATCH(J242,Seguimiento_OC!$A:$A,0)))))</f>
        <v/>
      </c>
      <c r="L242" s="13"/>
    </row>
    <row r="243" customFormat="false" ht="15" hidden="false" customHeight="false" outlineLevel="0" collapsed="false">
      <c r="A243" s="16"/>
      <c r="B243" s="14" t="str">
        <f aca="false">IF(A243="","",MONTH(A243))</f>
        <v/>
      </c>
      <c r="C243" s="13"/>
      <c r="D243" s="13"/>
      <c r="E243" s="13"/>
      <c r="F243" s="13"/>
      <c r="G243" s="13"/>
      <c r="H243" s="17"/>
      <c r="I243" s="16"/>
      <c r="J243" s="13"/>
      <c r="K243" s="14" t="str">
        <f aca="false">IF(F243="","",IF(J243="","Pendiente OC",IF(COUNTIF(Seguimiento_OC!$A:$A,J243)=0,"OC no registrada",INDEX(Seguimiento_OC!$Y:$Y,MATCH(J243,Seguimiento_OC!$A:$A,0)))))</f>
        <v/>
      </c>
      <c r="L243" s="13"/>
    </row>
    <row r="244" customFormat="false" ht="15" hidden="false" customHeight="false" outlineLevel="0" collapsed="false">
      <c r="A244" s="16"/>
      <c r="B244" s="14" t="str">
        <f aca="false">IF(A244="","",MONTH(A244))</f>
        <v/>
      </c>
      <c r="C244" s="13"/>
      <c r="D244" s="13"/>
      <c r="E244" s="13"/>
      <c r="F244" s="13"/>
      <c r="G244" s="13"/>
      <c r="H244" s="17"/>
      <c r="I244" s="16"/>
      <c r="J244" s="13"/>
      <c r="K244" s="14" t="str">
        <f aca="false">IF(F244="","",IF(J244="","Pendiente OC",IF(COUNTIF(Seguimiento_OC!$A:$A,J244)=0,"OC no registrada",INDEX(Seguimiento_OC!$Y:$Y,MATCH(J244,Seguimiento_OC!$A:$A,0)))))</f>
        <v/>
      </c>
      <c r="L244" s="13"/>
    </row>
    <row r="245" customFormat="false" ht="15" hidden="false" customHeight="false" outlineLevel="0" collapsed="false">
      <c r="A245" s="16"/>
      <c r="B245" s="14" t="str">
        <f aca="false">IF(A245="","",MONTH(A245))</f>
        <v/>
      </c>
      <c r="C245" s="13"/>
      <c r="D245" s="13"/>
      <c r="E245" s="13"/>
      <c r="F245" s="13"/>
      <c r="G245" s="13"/>
      <c r="H245" s="17"/>
      <c r="I245" s="16"/>
      <c r="J245" s="13"/>
      <c r="K245" s="14" t="str">
        <f aca="false">IF(F245="","",IF(J245="","Pendiente OC",IF(COUNTIF(Seguimiento_OC!$A:$A,J245)=0,"OC no registrada",INDEX(Seguimiento_OC!$Y:$Y,MATCH(J245,Seguimiento_OC!$A:$A,0)))))</f>
        <v/>
      </c>
      <c r="L245" s="13"/>
    </row>
    <row r="246" customFormat="false" ht="15" hidden="false" customHeight="false" outlineLevel="0" collapsed="false">
      <c r="A246" s="16"/>
      <c r="B246" s="14" t="str">
        <f aca="false">IF(A246="","",MONTH(A246))</f>
        <v/>
      </c>
      <c r="C246" s="13"/>
      <c r="D246" s="13"/>
      <c r="E246" s="13"/>
      <c r="F246" s="13"/>
      <c r="G246" s="13"/>
      <c r="H246" s="17"/>
      <c r="I246" s="16"/>
      <c r="J246" s="13"/>
      <c r="K246" s="14" t="str">
        <f aca="false">IF(F246="","",IF(J246="","Pendiente OC",IF(COUNTIF(Seguimiento_OC!$A:$A,J246)=0,"OC no registrada",INDEX(Seguimiento_OC!$Y:$Y,MATCH(J246,Seguimiento_OC!$A:$A,0)))))</f>
        <v/>
      </c>
      <c r="L246" s="13"/>
    </row>
    <row r="247" customFormat="false" ht="15" hidden="false" customHeight="false" outlineLevel="0" collapsed="false">
      <c r="A247" s="16"/>
      <c r="B247" s="14" t="str">
        <f aca="false">IF(A247="","",MONTH(A247))</f>
        <v/>
      </c>
      <c r="C247" s="13"/>
      <c r="D247" s="13"/>
      <c r="E247" s="13"/>
      <c r="F247" s="13"/>
      <c r="G247" s="13"/>
      <c r="H247" s="17"/>
      <c r="I247" s="16"/>
      <c r="J247" s="13"/>
      <c r="K247" s="14" t="str">
        <f aca="false">IF(F247="","",IF(J247="","Pendiente OC",IF(COUNTIF(Seguimiento_OC!$A:$A,J247)=0,"OC no registrada",INDEX(Seguimiento_OC!$Y:$Y,MATCH(J247,Seguimiento_OC!$A:$A,0)))))</f>
        <v/>
      </c>
      <c r="L247" s="13"/>
    </row>
    <row r="248" customFormat="false" ht="15" hidden="false" customHeight="false" outlineLevel="0" collapsed="false">
      <c r="A248" s="16"/>
      <c r="B248" s="14" t="str">
        <f aca="false">IF(A248="","",MONTH(A248))</f>
        <v/>
      </c>
      <c r="C248" s="13"/>
      <c r="D248" s="13"/>
      <c r="E248" s="13"/>
      <c r="F248" s="13"/>
      <c r="G248" s="13"/>
      <c r="H248" s="17"/>
      <c r="I248" s="16"/>
      <c r="J248" s="13"/>
      <c r="K248" s="14" t="str">
        <f aca="false">IF(F248="","",IF(J248="","Pendiente OC",IF(COUNTIF(Seguimiento_OC!$A:$A,J248)=0,"OC no registrada",INDEX(Seguimiento_OC!$Y:$Y,MATCH(J248,Seguimiento_OC!$A:$A,0)))))</f>
        <v/>
      </c>
      <c r="L248" s="13"/>
    </row>
    <row r="249" customFormat="false" ht="15" hidden="false" customHeight="false" outlineLevel="0" collapsed="false">
      <c r="A249" s="16"/>
      <c r="B249" s="14" t="str">
        <f aca="false">IF(A249="","",MONTH(A249))</f>
        <v/>
      </c>
      <c r="C249" s="13"/>
      <c r="D249" s="13"/>
      <c r="E249" s="13"/>
      <c r="F249" s="13"/>
      <c r="G249" s="13"/>
      <c r="H249" s="17"/>
      <c r="I249" s="16"/>
      <c r="J249" s="13"/>
      <c r="K249" s="14" t="str">
        <f aca="false">IF(F249="","",IF(J249="","Pendiente OC",IF(COUNTIF(Seguimiento_OC!$A:$A,J249)=0,"OC no registrada",INDEX(Seguimiento_OC!$Y:$Y,MATCH(J249,Seguimiento_OC!$A:$A,0)))))</f>
        <v/>
      </c>
      <c r="L249" s="13"/>
    </row>
    <row r="250" customFormat="false" ht="15" hidden="false" customHeight="false" outlineLevel="0" collapsed="false">
      <c r="A250" s="16"/>
      <c r="B250" s="14" t="str">
        <f aca="false">IF(A250="","",MONTH(A250))</f>
        <v/>
      </c>
      <c r="C250" s="13"/>
      <c r="D250" s="13"/>
      <c r="E250" s="13"/>
      <c r="F250" s="13"/>
      <c r="G250" s="13"/>
      <c r="H250" s="17"/>
      <c r="I250" s="16"/>
      <c r="J250" s="13"/>
      <c r="K250" s="14" t="str">
        <f aca="false">IF(F250="","",IF(J250="","Pendiente OC",IF(COUNTIF(Seguimiento_OC!$A:$A,J250)=0,"OC no registrada",INDEX(Seguimiento_OC!$Y:$Y,MATCH(J250,Seguimiento_OC!$A:$A,0)))))</f>
        <v/>
      </c>
      <c r="L250" s="13"/>
    </row>
    <row r="251" customFormat="false" ht="15" hidden="false" customHeight="false" outlineLevel="0" collapsed="false">
      <c r="A251" s="16"/>
      <c r="B251" s="14" t="str">
        <f aca="false">IF(A251="","",MONTH(A251))</f>
        <v/>
      </c>
      <c r="C251" s="13"/>
      <c r="D251" s="13"/>
      <c r="E251" s="13"/>
      <c r="F251" s="13"/>
      <c r="G251" s="13"/>
      <c r="H251" s="17"/>
      <c r="I251" s="16"/>
      <c r="J251" s="13"/>
      <c r="K251" s="14" t="str">
        <f aca="false">IF(F251="","",IF(J251="","Pendiente OC",IF(COUNTIF(Seguimiento_OC!$A:$A,J251)=0,"OC no registrada",INDEX(Seguimiento_OC!$Y:$Y,MATCH(J251,Seguimiento_OC!$A:$A,0)))))</f>
        <v/>
      </c>
      <c r="L251" s="13"/>
    </row>
    <row r="252" customFormat="false" ht="15" hidden="false" customHeight="false" outlineLevel="0" collapsed="false">
      <c r="A252" s="16"/>
      <c r="B252" s="14" t="str">
        <f aca="false">IF(A252="","",MONTH(A252))</f>
        <v/>
      </c>
      <c r="C252" s="13"/>
      <c r="D252" s="13"/>
      <c r="E252" s="13"/>
      <c r="F252" s="13"/>
      <c r="G252" s="13"/>
      <c r="H252" s="17"/>
      <c r="I252" s="16"/>
      <c r="J252" s="13"/>
      <c r="K252" s="14" t="str">
        <f aca="false">IF(F252="","",IF(J252="","Pendiente OC",IF(COUNTIF(Seguimiento_OC!$A:$A,J252)=0,"OC no registrada",INDEX(Seguimiento_OC!$Y:$Y,MATCH(J252,Seguimiento_OC!$A:$A,0)))))</f>
        <v/>
      </c>
      <c r="L252" s="13"/>
    </row>
    <row r="253" customFormat="false" ht="15" hidden="false" customHeight="false" outlineLevel="0" collapsed="false">
      <c r="A253" s="16"/>
      <c r="B253" s="14" t="str">
        <f aca="false">IF(A253="","",MONTH(A253))</f>
        <v/>
      </c>
      <c r="C253" s="13"/>
      <c r="D253" s="13"/>
      <c r="E253" s="13"/>
      <c r="F253" s="13"/>
      <c r="G253" s="13"/>
      <c r="H253" s="17"/>
      <c r="I253" s="16"/>
      <c r="J253" s="13"/>
      <c r="K253" s="14" t="str">
        <f aca="false">IF(F253="","",IF(J253="","Pendiente OC",IF(COUNTIF(Seguimiento_OC!$A:$A,J253)=0,"OC no registrada",INDEX(Seguimiento_OC!$Y:$Y,MATCH(J253,Seguimiento_OC!$A:$A,0)))))</f>
        <v/>
      </c>
      <c r="L253" s="13"/>
    </row>
    <row r="254" customFormat="false" ht="15" hidden="false" customHeight="false" outlineLevel="0" collapsed="false">
      <c r="A254" s="16"/>
      <c r="B254" s="14" t="str">
        <f aca="false">IF(A254="","",MONTH(A254))</f>
        <v/>
      </c>
      <c r="C254" s="13"/>
      <c r="D254" s="13"/>
      <c r="E254" s="13"/>
      <c r="F254" s="13"/>
      <c r="G254" s="13"/>
      <c r="H254" s="17"/>
      <c r="I254" s="16"/>
      <c r="J254" s="13"/>
      <c r="K254" s="14" t="str">
        <f aca="false">IF(F254="","",IF(J254="","Pendiente OC",IF(COUNTIF(Seguimiento_OC!$A:$A,J254)=0,"OC no registrada",INDEX(Seguimiento_OC!$Y:$Y,MATCH(J254,Seguimiento_OC!$A:$A,0)))))</f>
        <v/>
      </c>
      <c r="L254" s="13"/>
    </row>
    <row r="255" customFormat="false" ht="15" hidden="false" customHeight="false" outlineLevel="0" collapsed="false">
      <c r="A255" s="16"/>
      <c r="B255" s="14" t="str">
        <f aca="false">IF(A255="","",MONTH(A255))</f>
        <v/>
      </c>
      <c r="C255" s="13"/>
      <c r="D255" s="13"/>
      <c r="E255" s="13"/>
      <c r="F255" s="13"/>
      <c r="G255" s="13"/>
      <c r="H255" s="17"/>
      <c r="I255" s="16"/>
      <c r="J255" s="13"/>
      <c r="K255" s="14" t="str">
        <f aca="false">IF(F255="","",IF(J255="","Pendiente OC",IF(COUNTIF(Seguimiento_OC!$A:$A,J255)=0,"OC no registrada",INDEX(Seguimiento_OC!$Y:$Y,MATCH(J255,Seguimiento_OC!$A:$A,0)))))</f>
        <v/>
      </c>
      <c r="L255" s="13"/>
    </row>
    <row r="256" customFormat="false" ht="15" hidden="false" customHeight="false" outlineLevel="0" collapsed="false">
      <c r="A256" s="16"/>
      <c r="B256" s="14" t="str">
        <f aca="false">IF(A256="","",MONTH(A256))</f>
        <v/>
      </c>
      <c r="C256" s="13"/>
      <c r="D256" s="13"/>
      <c r="E256" s="13"/>
      <c r="F256" s="13"/>
      <c r="G256" s="13"/>
      <c r="H256" s="17"/>
      <c r="I256" s="16"/>
      <c r="J256" s="13"/>
      <c r="K256" s="14" t="str">
        <f aca="false">IF(F256="","",IF(J256="","Pendiente OC",IF(COUNTIF(Seguimiento_OC!$A:$A,J256)=0,"OC no registrada",INDEX(Seguimiento_OC!$Y:$Y,MATCH(J256,Seguimiento_OC!$A:$A,0)))))</f>
        <v/>
      </c>
      <c r="L256" s="13"/>
    </row>
    <row r="257" customFormat="false" ht="15" hidden="false" customHeight="false" outlineLevel="0" collapsed="false">
      <c r="A257" s="16"/>
      <c r="B257" s="14" t="str">
        <f aca="false">IF(A257="","",MONTH(A257))</f>
        <v/>
      </c>
      <c r="C257" s="13"/>
      <c r="D257" s="13"/>
      <c r="E257" s="13"/>
      <c r="F257" s="13"/>
      <c r="G257" s="13"/>
      <c r="H257" s="17"/>
      <c r="I257" s="16"/>
      <c r="J257" s="13"/>
      <c r="K257" s="14" t="str">
        <f aca="false">IF(F257="","",IF(J257="","Pendiente OC",IF(COUNTIF(Seguimiento_OC!$A:$A,J257)=0,"OC no registrada",INDEX(Seguimiento_OC!$Y:$Y,MATCH(J257,Seguimiento_OC!$A:$A,0)))))</f>
        <v/>
      </c>
      <c r="L257" s="13"/>
    </row>
    <row r="258" customFormat="false" ht="15" hidden="false" customHeight="false" outlineLevel="0" collapsed="false">
      <c r="A258" s="16"/>
      <c r="B258" s="14" t="str">
        <f aca="false">IF(A258="","",MONTH(A258))</f>
        <v/>
      </c>
      <c r="C258" s="13"/>
      <c r="D258" s="13"/>
      <c r="E258" s="13"/>
      <c r="F258" s="13"/>
      <c r="G258" s="13"/>
      <c r="H258" s="17"/>
      <c r="I258" s="16"/>
      <c r="J258" s="13"/>
      <c r="K258" s="14" t="str">
        <f aca="false">IF(F258="","",IF(J258="","Pendiente OC",IF(COUNTIF(Seguimiento_OC!$A:$A,J258)=0,"OC no registrada",INDEX(Seguimiento_OC!$Y:$Y,MATCH(J258,Seguimiento_OC!$A:$A,0)))))</f>
        <v/>
      </c>
      <c r="L258" s="13"/>
    </row>
    <row r="259" customFormat="false" ht="15" hidden="false" customHeight="false" outlineLevel="0" collapsed="false">
      <c r="A259" s="16"/>
      <c r="B259" s="14" t="str">
        <f aca="false">IF(A259="","",MONTH(A259))</f>
        <v/>
      </c>
      <c r="C259" s="13"/>
      <c r="D259" s="13"/>
      <c r="E259" s="13"/>
      <c r="F259" s="13"/>
      <c r="G259" s="13"/>
      <c r="H259" s="17"/>
      <c r="I259" s="16"/>
      <c r="J259" s="13"/>
      <c r="K259" s="14" t="str">
        <f aca="false">IF(F259="","",IF(J259="","Pendiente OC",IF(COUNTIF(Seguimiento_OC!$A:$A,J259)=0,"OC no registrada",INDEX(Seguimiento_OC!$Y:$Y,MATCH(J259,Seguimiento_OC!$A:$A,0)))))</f>
        <v/>
      </c>
      <c r="L259" s="13"/>
    </row>
    <row r="260" customFormat="false" ht="15" hidden="false" customHeight="false" outlineLevel="0" collapsed="false">
      <c r="A260" s="16"/>
      <c r="B260" s="14" t="str">
        <f aca="false">IF(A260="","",MONTH(A260))</f>
        <v/>
      </c>
      <c r="C260" s="13"/>
      <c r="D260" s="13"/>
      <c r="E260" s="13"/>
      <c r="F260" s="13"/>
      <c r="G260" s="13"/>
      <c r="H260" s="17"/>
      <c r="I260" s="16"/>
      <c r="J260" s="13"/>
      <c r="K260" s="14" t="str">
        <f aca="false">IF(F260="","",IF(J260="","Pendiente OC",IF(COUNTIF(Seguimiento_OC!$A:$A,J260)=0,"OC no registrada",INDEX(Seguimiento_OC!$Y:$Y,MATCH(J260,Seguimiento_OC!$A:$A,0)))))</f>
        <v/>
      </c>
      <c r="L260" s="13"/>
    </row>
    <row r="261" customFormat="false" ht="15" hidden="false" customHeight="false" outlineLevel="0" collapsed="false">
      <c r="A261" s="16"/>
      <c r="B261" s="14" t="str">
        <f aca="false">IF(A261="","",MONTH(A261))</f>
        <v/>
      </c>
      <c r="C261" s="13"/>
      <c r="D261" s="13"/>
      <c r="E261" s="13"/>
      <c r="F261" s="13"/>
      <c r="G261" s="13"/>
      <c r="H261" s="17"/>
      <c r="I261" s="16"/>
      <c r="J261" s="13"/>
      <c r="K261" s="14" t="str">
        <f aca="false">IF(F261="","",IF(J261="","Pendiente OC",IF(COUNTIF(Seguimiento_OC!$A:$A,J261)=0,"OC no registrada",INDEX(Seguimiento_OC!$Y:$Y,MATCH(J261,Seguimiento_OC!$A:$A,0)))))</f>
        <v/>
      </c>
      <c r="L261" s="13"/>
    </row>
    <row r="262" customFormat="false" ht="15" hidden="false" customHeight="false" outlineLevel="0" collapsed="false">
      <c r="A262" s="16"/>
      <c r="B262" s="14" t="str">
        <f aca="false">IF(A262="","",MONTH(A262))</f>
        <v/>
      </c>
      <c r="C262" s="13"/>
      <c r="D262" s="13"/>
      <c r="E262" s="13"/>
      <c r="F262" s="13"/>
      <c r="G262" s="13"/>
      <c r="H262" s="17"/>
      <c r="I262" s="16"/>
      <c r="J262" s="13"/>
      <c r="K262" s="14" t="str">
        <f aca="false">IF(F262="","",IF(J262="","Pendiente OC",IF(COUNTIF(Seguimiento_OC!$A:$A,J262)=0,"OC no registrada",INDEX(Seguimiento_OC!$Y:$Y,MATCH(J262,Seguimiento_OC!$A:$A,0)))))</f>
        <v/>
      </c>
      <c r="L262" s="13"/>
    </row>
    <row r="263" customFormat="false" ht="15" hidden="false" customHeight="false" outlineLevel="0" collapsed="false">
      <c r="A263" s="16"/>
      <c r="B263" s="14" t="str">
        <f aca="false">IF(A263="","",MONTH(A263))</f>
        <v/>
      </c>
      <c r="C263" s="13"/>
      <c r="D263" s="13"/>
      <c r="E263" s="13"/>
      <c r="F263" s="13"/>
      <c r="G263" s="13"/>
      <c r="H263" s="17"/>
      <c r="I263" s="16"/>
      <c r="J263" s="13"/>
      <c r="K263" s="14" t="str">
        <f aca="false">IF(F263="","",IF(J263="","Pendiente OC",IF(COUNTIF(Seguimiento_OC!$A:$A,J263)=0,"OC no registrada",INDEX(Seguimiento_OC!$Y:$Y,MATCH(J263,Seguimiento_OC!$A:$A,0)))))</f>
        <v/>
      </c>
      <c r="L263" s="13"/>
    </row>
    <row r="264" customFormat="false" ht="15" hidden="false" customHeight="false" outlineLevel="0" collapsed="false">
      <c r="A264" s="16"/>
      <c r="B264" s="14" t="str">
        <f aca="false">IF(A264="","",MONTH(A264))</f>
        <v/>
      </c>
      <c r="C264" s="13"/>
      <c r="D264" s="13"/>
      <c r="E264" s="13"/>
      <c r="F264" s="13"/>
      <c r="G264" s="13"/>
      <c r="H264" s="17"/>
      <c r="I264" s="16"/>
      <c r="J264" s="13"/>
      <c r="K264" s="14" t="str">
        <f aca="false">IF(F264="","",IF(J264="","Pendiente OC",IF(COUNTIF(Seguimiento_OC!$A:$A,J264)=0,"OC no registrada",INDEX(Seguimiento_OC!$Y:$Y,MATCH(J264,Seguimiento_OC!$A:$A,0)))))</f>
        <v/>
      </c>
      <c r="L264" s="13"/>
    </row>
    <row r="265" customFormat="false" ht="15" hidden="false" customHeight="false" outlineLevel="0" collapsed="false">
      <c r="A265" s="16"/>
      <c r="B265" s="14" t="str">
        <f aca="false">IF(A265="","",MONTH(A265))</f>
        <v/>
      </c>
      <c r="C265" s="13"/>
      <c r="D265" s="13"/>
      <c r="E265" s="13"/>
      <c r="F265" s="13"/>
      <c r="G265" s="13"/>
      <c r="H265" s="17"/>
      <c r="I265" s="16"/>
      <c r="J265" s="13"/>
      <c r="K265" s="14" t="str">
        <f aca="false">IF(F265="","",IF(J265="","Pendiente OC",IF(COUNTIF(Seguimiento_OC!$A:$A,J265)=0,"OC no registrada",INDEX(Seguimiento_OC!$Y:$Y,MATCH(J265,Seguimiento_OC!$A:$A,0)))))</f>
        <v/>
      </c>
      <c r="L265" s="13"/>
    </row>
    <row r="266" customFormat="false" ht="15" hidden="false" customHeight="false" outlineLevel="0" collapsed="false">
      <c r="A266" s="16"/>
      <c r="B266" s="14" t="str">
        <f aca="false">IF(A266="","",MONTH(A266))</f>
        <v/>
      </c>
      <c r="C266" s="13"/>
      <c r="D266" s="13"/>
      <c r="E266" s="13"/>
      <c r="F266" s="13"/>
      <c r="G266" s="13"/>
      <c r="H266" s="17"/>
      <c r="I266" s="16"/>
      <c r="J266" s="13"/>
      <c r="K266" s="14" t="str">
        <f aca="false">IF(F266="","",IF(J266="","Pendiente OC",IF(COUNTIF(Seguimiento_OC!$A:$A,J266)=0,"OC no registrada",INDEX(Seguimiento_OC!$Y:$Y,MATCH(J266,Seguimiento_OC!$A:$A,0)))))</f>
        <v/>
      </c>
      <c r="L266" s="13"/>
    </row>
    <row r="267" customFormat="false" ht="15" hidden="false" customHeight="false" outlineLevel="0" collapsed="false">
      <c r="A267" s="16"/>
      <c r="B267" s="14" t="str">
        <f aca="false">IF(A267="","",MONTH(A267))</f>
        <v/>
      </c>
      <c r="C267" s="13"/>
      <c r="D267" s="13"/>
      <c r="E267" s="13"/>
      <c r="F267" s="13"/>
      <c r="G267" s="13"/>
      <c r="H267" s="17"/>
      <c r="I267" s="16"/>
      <c r="J267" s="13"/>
      <c r="K267" s="14" t="str">
        <f aca="false">IF(F267="","",IF(J267="","Pendiente OC",IF(COUNTIF(Seguimiento_OC!$A:$A,J267)=0,"OC no registrada",INDEX(Seguimiento_OC!$Y:$Y,MATCH(J267,Seguimiento_OC!$A:$A,0)))))</f>
        <v/>
      </c>
      <c r="L267" s="13"/>
    </row>
    <row r="268" customFormat="false" ht="15" hidden="false" customHeight="false" outlineLevel="0" collapsed="false">
      <c r="A268" s="16"/>
      <c r="B268" s="14" t="str">
        <f aca="false">IF(A268="","",MONTH(A268))</f>
        <v/>
      </c>
      <c r="C268" s="13"/>
      <c r="D268" s="13"/>
      <c r="E268" s="13"/>
      <c r="F268" s="13"/>
      <c r="G268" s="13"/>
      <c r="H268" s="17"/>
      <c r="I268" s="16"/>
      <c r="J268" s="13"/>
      <c r="K268" s="14" t="str">
        <f aca="false">IF(F268="","",IF(J268="","Pendiente OC",IF(COUNTIF(Seguimiento_OC!$A:$A,J268)=0,"OC no registrada",INDEX(Seguimiento_OC!$Y:$Y,MATCH(J268,Seguimiento_OC!$A:$A,0)))))</f>
        <v/>
      </c>
      <c r="L268" s="13"/>
    </row>
    <row r="269" customFormat="false" ht="15" hidden="false" customHeight="false" outlineLevel="0" collapsed="false">
      <c r="A269" s="16"/>
      <c r="B269" s="14" t="str">
        <f aca="false">IF(A269="","",MONTH(A269))</f>
        <v/>
      </c>
      <c r="C269" s="13"/>
      <c r="D269" s="13"/>
      <c r="E269" s="13"/>
      <c r="F269" s="13"/>
      <c r="G269" s="13"/>
      <c r="H269" s="17"/>
      <c r="I269" s="16"/>
      <c r="J269" s="13"/>
      <c r="K269" s="14" t="str">
        <f aca="false">IF(F269="","",IF(J269="","Pendiente OC",IF(COUNTIF(Seguimiento_OC!$A:$A,J269)=0,"OC no registrada",INDEX(Seguimiento_OC!$Y:$Y,MATCH(J269,Seguimiento_OC!$A:$A,0)))))</f>
        <v/>
      </c>
      <c r="L269" s="13"/>
    </row>
    <row r="270" customFormat="false" ht="15" hidden="false" customHeight="false" outlineLevel="0" collapsed="false">
      <c r="A270" s="16"/>
      <c r="B270" s="14" t="str">
        <f aca="false">IF(A270="","",MONTH(A270))</f>
        <v/>
      </c>
      <c r="C270" s="13"/>
      <c r="D270" s="13"/>
      <c r="E270" s="13"/>
      <c r="F270" s="13"/>
      <c r="G270" s="13"/>
      <c r="H270" s="17"/>
      <c r="I270" s="16"/>
      <c r="J270" s="13"/>
      <c r="K270" s="14" t="str">
        <f aca="false">IF(F270="","",IF(J270="","Pendiente OC",IF(COUNTIF(Seguimiento_OC!$A:$A,J270)=0,"OC no registrada",INDEX(Seguimiento_OC!$Y:$Y,MATCH(J270,Seguimiento_OC!$A:$A,0)))))</f>
        <v/>
      </c>
      <c r="L270" s="13"/>
    </row>
    <row r="271" customFormat="false" ht="15" hidden="false" customHeight="false" outlineLevel="0" collapsed="false">
      <c r="A271" s="16"/>
      <c r="B271" s="14" t="str">
        <f aca="false">IF(A271="","",MONTH(A271))</f>
        <v/>
      </c>
      <c r="C271" s="13"/>
      <c r="D271" s="13"/>
      <c r="E271" s="13"/>
      <c r="F271" s="13"/>
      <c r="G271" s="13"/>
      <c r="H271" s="17"/>
      <c r="I271" s="16"/>
      <c r="J271" s="13"/>
      <c r="K271" s="14" t="str">
        <f aca="false">IF(F271="","",IF(J271="","Pendiente OC",IF(COUNTIF(Seguimiento_OC!$A:$A,J271)=0,"OC no registrada",INDEX(Seguimiento_OC!$Y:$Y,MATCH(J271,Seguimiento_OC!$A:$A,0)))))</f>
        <v/>
      </c>
      <c r="L271" s="13"/>
    </row>
    <row r="272" customFormat="false" ht="15" hidden="false" customHeight="false" outlineLevel="0" collapsed="false">
      <c r="A272" s="16"/>
      <c r="B272" s="14" t="str">
        <f aca="false">IF(A272="","",MONTH(A272))</f>
        <v/>
      </c>
      <c r="C272" s="13"/>
      <c r="D272" s="13"/>
      <c r="E272" s="13"/>
      <c r="F272" s="13"/>
      <c r="G272" s="13"/>
      <c r="H272" s="17"/>
      <c r="I272" s="16"/>
      <c r="J272" s="13"/>
      <c r="K272" s="14" t="str">
        <f aca="false">IF(F272="","",IF(J272="","Pendiente OC",IF(COUNTIF(Seguimiento_OC!$A:$A,J272)=0,"OC no registrada",INDEX(Seguimiento_OC!$Y:$Y,MATCH(J272,Seguimiento_OC!$A:$A,0)))))</f>
        <v/>
      </c>
      <c r="L272" s="13"/>
    </row>
    <row r="273" customFormat="false" ht="15" hidden="false" customHeight="false" outlineLevel="0" collapsed="false">
      <c r="A273" s="16"/>
      <c r="B273" s="14" t="str">
        <f aca="false">IF(A273="","",MONTH(A273))</f>
        <v/>
      </c>
      <c r="C273" s="13"/>
      <c r="D273" s="13"/>
      <c r="E273" s="13"/>
      <c r="F273" s="13"/>
      <c r="G273" s="13"/>
      <c r="H273" s="17"/>
      <c r="I273" s="16"/>
      <c r="J273" s="13"/>
      <c r="K273" s="14" t="str">
        <f aca="false">IF(F273="","",IF(J273="","Pendiente OC",IF(COUNTIF(Seguimiento_OC!$A:$A,J273)=0,"OC no registrada",INDEX(Seguimiento_OC!$Y:$Y,MATCH(J273,Seguimiento_OC!$A:$A,0)))))</f>
        <v/>
      </c>
      <c r="L273" s="13"/>
    </row>
    <row r="274" customFormat="false" ht="15" hidden="false" customHeight="false" outlineLevel="0" collapsed="false">
      <c r="A274" s="16"/>
      <c r="B274" s="14" t="str">
        <f aca="false">IF(A274="","",MONTH(A274))</f>
        <v/>
      </c>
      <c r="C274" s="13"/>
      <c r="D274" s="13"/>
      <c r="E274" s="13"/>
      <c r="F274" s="13"/>
      <c r="G274" s="13"/>
      <c r="H274" s="17"/>
      <c r="I274" s="16"/>
      <c r="J274" s="13"/>
      <c r="K274" s="14" t="str">
        <f aca="false">IF(F274="","",IF(J274="","Pendiente OC",IF(COUNTIF(Seguimiento_OC!$A:$A,J274)=0,"OC no registrada",INDEX(Seguimiento_OC!$Y:$Y,MATCH(J274,Seguimiento_OC!$A:$A,0)))))</f>
        <v/>
      </c>
      <c r="L274" s="13"/>
    </row>
    <row r="275" customFormat="false" ht="15" hidden="false" customHeight="false" outlineLevel="0" collapsed="false">
      <c r="A275" s="16"/>
      <c r="B275" s="14" t="str">
        <f aca="false">IF(A275="","",MONTH(A275))</f>
        <v/>
      </c>
      <c r="C275" s="13"/>
      <c r="D275" s="13"/>
      <c r="E275" s="13"/>
      <c r="F275" s="13"/>
      <c r="G275" s="13"/>
      <c r="H275" s="17"/>
      <c r="I275" s="16"/>
      <c r="J275" s="13"/>
      <c r="K275" s="14" t="str">
        <f aca="false">IF(F275="","",IF(J275="","Pendiente OC",IF(COUNTIF(Seguimiento_OC!$A:$A,J275)=0,"OC no registrada",INDEX(Seguimiento_OC!$Y:$Y,MATCH(J275,Seguimiento_OC!$A:$A,0)))))</f>
        <v/>
      </c>
      <c r="L275" s="13"/>
    </row>
    <row r="276" customFormat="false" ht="15" hidden="false" customHeight="false" outlineLevel="0" collapsed="false">
      <c r="A276" s="16"/>
      <c r="B276" s="14" t="str">
        <f aca="false">IF(A276="","",MONTH(A276))</f>
        <v/>
      </c>
      <c r="C276" s="13"/>
      <c r="D276" s="13"/>
      <c r="E276" s="13"/>
      <c r="F276" s="13"/>
      <c r="G276" s="13"/>
      <c r="H276" s="17"/>
      <c r="I276" s="16"/>
      <c r="J276" s="13"/>
      <c r="K276" s="14" t="str">
        <f aca="false">IF(F276="","",IF(J276="","Pendiente OC",IF(COUNTIF(Seguimiento_OC!$A:$A,J276)=0,"OC no registrada",INDEX(Seguimiento_OC!$Y:$Y,MATCH(J276,Seguimiento_OC!$A:$A,0)))))</f>
        <v/>
      </c>
      <c r="L276" s="13"/>
    </row>
    <row r="277" customFormat="false" ht="15" hidden="false" customHeight="false" outlineLevel="0" collapsed="false">
      <c r="A277" s="16"/>
      <c r="B277" s="14" t="str">
        <f aca="false">IF(A277="","",MONTH(A277))</f>
        <v/>
      </c>
      <c r="C277" s="13"/>
      <c r="D277" s="13"/>
      <c r="E277" s="13"/>
      <c r="F277" s="13"/>
      <c r="G277" s="13"/>
      <c r="H277" s="17"/>
      <c r="I277" s="16"/>
      <c r="J277" s="13"/>
      <c r="K277" s="14" t="str">
        <f aca="false">IF(F277="","",IF(J277="","Pendiente OC",IF(COUNTIF(Seguimiento_OC!$A:$A,J277)=0,"OC no registrada",INDEX(Seguimiento_OC!$Y:$Y,MATCH(J277,Seguimiento_OC!$A:$A,0)))))</f>
        <v/>
      </c>
      <c r="L277" s="13"/>
    </row>
    <row r="278" customFormat="false" ht="15" hidden="false" customHeight="false" outlineLevel="0" collapsed="false">
      <c r="A278" s="16"/>
      <c r="B278" s="14" t="str">
        <f aca="false">IF(A278="","",MONTH(A278))</f>
        <v/>
      </c>
      <c r="C278" s="13"/>
      <c r="D278" s="13"/>
      <c r="E278" s="13"/>
      <c r="F278" s="13"/>
      <c r="G278" s="13"/>
      <c r="H278" s="17"/>
      <c r="I278" s="16"/>
      <c r="J278" s="13"/>
      <c r="K278" s="14" t="str">
        <f aca="false">IF(F278="","",IF(J278="","Pendiente OC",IF(COUNTIF(Seguimiento_OC!$A:$A,J278)=0,"OC no registrada",INDEX(Seguimiento_OC!$Y:$Y,MATCH(J278,Seguimiento_OC!$A:$A,0)))))</f>
        <v/>
      </c>
      <c r="L278" s="13"/>
    </row>
    <row r="279" customFormat="false" ht="15" hidden="false" customHeight="false" outlineLevel="0" collapsed="false">
      <c r="A279" s="16"/>
      <c r="B279" s="14" t="str">
        <f aca="false">IF(A279="","",MONTH(A279))</f>
        <v/>
      </c>
      <c r="C279" s="13"/>
      <c r="D279" s="13"/>
      <c r="E279" s="13"/>
      <c r="F279" s="13"/>
      <c r="G279" s="13"/>
      <c r="H279" s="17"/>
      <c r="I279" s="16"/>
      <c r="J279" s="13"/>
      <c r="K279" s="14" t="str">
        <f aca="false">IF(F279="","",IF(J279="","Pendiente OC",IF(COUNTIF(Seguimiento_OC!$A:$A,J279)=0,"OC no registrada",INDEX(Seguimiento_OC!$Y:$Y,MATCH(J279,Seguimiento_OC!$A:$A,0)))))</f>
        <v/>
      </c>
      <c r="L279" s="13"/>
    </row>
    <row r="280" customFormat="false" ht="15" hidden="false" customHeight="false" outlineLevel="0" collapsed="false">
      <c r="A280" s="16"/>
      <c r="B280" s="14" t="str">
        <f aca="false">IF(A280="","",MONTH(A280))</f>
        <v/>
      </c>
      <c r="C280" s="13"/>
      <c r="D280" s="13"/>
      <c r="E280" s="13"/>
      <c r="F280" s="13"/>
      <c r="G280" s="13"/>
      <c r="H280" s="17"/>
      <c r="I280" s="16"/>
      <c r="J280" s="13"/>
      <c r="K280" s="14" t="str">
        <f aca="false">IF(F280="","",IF(J280="","Pendiente OC",IF(COUNTIF(Seguimiento_OC!$A:$A,J280)=0,"OC no registrada",INDEX(Seguimiento_OC!$Y:$Y,MATCH(J280,Seguimiento_OC!$A:$A,0)))))</f>
        <v/>
      </c>
      <c r="L280" s="13"/>
    </row>
    <row r="281" customFormat="false" ht="15" hidden="false" customHeight="false" outlineLevel="0" collapsed="false">
      <c r="A281" s="16"/>
      <c r="B281" s="14" t="str">
        <f aca="false">IF(A281="","",MONTH(A281))</f>
        <v/>
      </c>
      <c r="C281" s="13"/>
      <c r="D281" s="13"/>
      <c r="E281" s="13"/>
      <c r="F281" s="13"/>
      <c r="G281" s="13"/>
      <c r="H281" s="17"/>
      <c r="I281" s="16"/>
      <c r="J281" s="13"/>
      <c r="K281" s="14" t="str">
        <f aca="false">IF(F281="","",IF(J281="","Pendiente OC",IF(COUNTIF(Seguimiento_OC!$A:$A,J281)=0,"OC no registrada",INDEX(Seguimiento_OC!$Y:$Y,MATCH(J281,Seguimiento_OC!$A:$A,0)))))</f>
        <v/>
      </c>
      <c r="L281" s="13"/>
    </row>
    <row r="282" customFormat="false" ht="15" hidden="false" customHeight="false" outlineLevel="0" collapsed="false">
      <c r="A282" s="16"/>
      <c r="B282" s="14" t="str">
        <f aca="false">IF(A282="","",MONTH(A282))</f>
        <v/>
      </c>
      <c r="C282" s="13"/>
      <c r="D282" s="13"/>
      <c r="E282" s="13"/>
      <c r="F282" s="13"/>
      <c r="G282" s="13"/>
      <c r="H282" s="17"/>
      <c r="I282" s="16"/>
      <c r="J282" s="13"/>
      <c r="K282" s="14" t="str">
        <f aca="false">IF(F282="","",IF(J282="","Pendiente OC",IF(COUNTIF(Seguimiento_OC!$A:$A,J282)=0,"OC no registrada",INDEX(Seguimiento_OC!$Y:$Y,MATCH(J282,Seguimiento_OC!$A:$A,0)))))</f>
        <v/>
      </c>
      <c r="L282" s="13"/>
    </row>
    <row r="283" customFormat="false" ht="15" hidden="false" customHeight="false" outlineLevel="0" collapsed="false">
      <c r="A283" s="16"/>
      <c r="B283" s="14" t="str">
        <f aca="false">IF(A283="","",MONTH(A283))</f>
        <v/>
      </c>
      <c r="C283" s="13"/>
      <c r="D283" s="13"/>
      <c r="E283" s="13"/>
      <c r="F283" s="13"/>
      <c r="G283" s="13"/>
      <c r="H283" s="17"/>
      <c r="I283" s="16"/>
      <c r="J283" s="13"/>
      <c r="K283" s="14" t="str">
        <f aca="false">IF(F283="","",IF(J283="","Pendiente OC",IF(COUNTIF(Seguimiento_OC!$A:$A,J283)=0,"OC no registrada",INDEX(Seguimiento_OC!$Y:$Y,MATCH(J283,Seguimiento_OC!$A:$A,0)))))</f>
        <v/>
      </c>
      <c r="L283" s="13"/>
    </row>
    <row r="284" customFormat="false" ht="15" hidden="false" customHeight="false" outlineLevel="0" collapsed="false">
      <c r="A284" s="16"/>
      <c r="B284" s="14" t="str">
        <f aca="false">IF(A284="","",MONTH(A284))</f>
        <v/>
      </c>
      <c r="C284" s="13"/>
      <c r="D284" s="13"/>
      <c r="E284" s="13"/>
      <c r="F284" s="13"/>
      <c r="G284" s="13"/>
      <c r="H284" s="17"/>
      <c r="I284" s="16"/>
      <c r="J284" s="13"/>
      <c r="K284" s="14" t="str">
        <f aca="false">IF(F284="","",IF(J284="","Pendiente OC",IF(COUNTIF(Seguimiento_OC!$A:$A,J284)=0,"OC no registrada",INDEX(Seguimiento_OC!$Y:$Y,MATCH(J284,Seguimiento_OC!$A:$A,0)))))</f>
        <v/>
      </c>
      <c r="L284" s="13"/>
    </row>
    <row r="285" customFormat="false" ht="15" hidden="false" customHeight="false" outlineLevel="0" collapsed="false">
      <c r="A285" s="16"/>
      <c r="B285" s="14" t="str">
        <f aca="false">IF(A285="","",MONTH(A285))</f>
        <v/>
      </c>
      <c r="C285" s="13"/>
      <c r="D285" s="13"/>
      <c r="E285" s="13"/>
      <c r="F285" s="13"/>
      <c r="G285" s="13"/>
      <c r="H285" s="17"/>
      <c r="I285" s="16"/>
      <c r="J285" s="13"/>
      <c r="K285" s="14" t="str">
        <f aca="false">IF(F285="","",IF(J285="","Pendiente OC",IF(COUNTIF(Seguimiento_OC!$A:$A,J285)=0,"OC no registrada",INDEX(Seguimiento_OC!$Y:$Y,MATCH(J285,Seguimiento_OC!$A:$A,0)))))</f>
        <v/>
      </c>
      <c r="L285" s="13"/>
    </row>
    <row r="286" customFormat="false" ht="15" hidden="false" customHeight="false" outlineLevel="0" collapsed="false">
      <c r="A286" s="16"/>
      <c r="B286" s="14" t="str">
        <f aca="false">IF(A286="","",MONTH(A286))</f>
        <v/>
      </c>
      <c r="C286" s="13"/>
      <c r="D286" s="13"/>
      <c r="E286" s="13"/>
      <c r="F286" s="13"/>
      <c r="G286" s="13"/>
      <c r="H286" s="17"/>
      <c r="I286" s="16"/>
      <c r="J286" s="13"/>
      <c r="K286" s="14" t="str">
        <f aca="false">IF(F286="","",IF(J286="","Pendiente OC",IF(COUNTIF(Seguimiento_OC!$A:$A,J286)=0,"OC no registrada",INDEX(Seguimiento_OC!$Y:$Y,MATCH(J286,Seguimiento_OC!$A:$A,0)))))</f>
        <v/>
      </c>
      <c r="L286" s="13"/>
    </row>
    <row r="287" customFormat="false" ht="15" hidden="false" customHeight="false" outlineLevel="0" collapsed="false">
      <c r="A287" s="16"/>
      <c r="B287" s="14" t="str">
        <f aca="false">IF(A287="","",MONTH(A287))</f>
        <v/>
      </c>
      <c r="C287" s="13"/>
      <c r="D287" s="13"/>
      <c r="E287" s="13"/>
      <c r="F287" s="13"/>
      <c r="G287" s="13"/>
      <c r="H287" s="17"/>
      <c r="I287" s="16"/>
      <c r="J287" s="13"/>
      <c r="K287" s="14" t="str">
        <f aca="false">IF(F287="","",IF(J287="","Pendiente OC",IF(COUNTIF(Seguimiento_OC!$A:$A,J287)=0,"OC no registrada",INDEX(Seguimiento_OC!$Y:$Y,MATCH(J287,Seguimiento_OC!$A:$A,0)))))</f>
        <v/>
      </c>
      <c r="L287" s="13"/>
    </row>
    <row r="288" customFormat="false" ht="15" hidden="false" customHeight="false" outlineLevel="0" collapsed="false">
      <c r="A288" s="16"/>
      <c r="B288" s="14" t="str">
        <f aca="false">IF(A288="","",MONTH(A288))</f>
        <v/>
      </c>
      <c r="C288" s="13"/>
      <c r="D288" s="13"/>
      <c r="E288" s="13"/>
      <c r="F288" s="13"/>
      <c r="G288" s="13"/>
      <c r="H288" s="17"/>
      <c r="I288" s="16"/>
      <c r="J288" s="13"/>
      <c r="K288" s="14" t="str">
        <f aca="false">IF(F288="","",IF(J288="","Pendiente OC",IF(COUNTIF(Seguimiento_OC!$A:$A,J288)=0,"OC no registrada",INDEX(Seguimiento_OC!$Y:$Y,MATCH(J288,Seguimiento_OC!$A:$A,0)))))</f>
        <v/>
      </c>
      <c r="L288" s="13"/>
    </row>
    <row r="289" customFormat="false" ht="15" hidden="false" customHeight="false" outlineLevel="0" collapsed="false">
      <c r="A289" s="16"/>
      <c r="B289" s="14" t="str">
        <f aca="false">IF(A289="","",MONTH(A289))</f>
        <v/>
      </c>
      <c r="C289" s="13"/>
      <c r="D289" s="13"/>
      <c r="E289" s="13"/>
      <c r="F289" s="13"/>
      <c r="G289" s="13"/>
      <c r="H289" s="17"/>
      <c r="I289" s="16"/>
      <c r="J289" s="13"/>
      <c r="K289" s="14" t="str">
        <f aca="false">IF(F289="","",IF(J289="","Pendiente OC",IF(COUNTIF(Seguimiento_OC!$A:$A,J289)=0,"OC no registrada",INDEX(Seguimiento_OC!$Y:$Y,MATCH(J289,Seguimiento_OC!$A:$A,0)))))</f>
        <v/>
      </c>
      <c r="L289" s="13"/>
    </row>
    <row r="290" customFormat="false" ht="15" hidden="false" customHeight="false" outlineLevel="0" collapsed="false">
      <c r="A290" s="16"/>
      <c r="B290" s="14" t="str">
        <f aca="false">IF(A290="","",MONTH(A290))</f>
        <v/>
      </c>
      <c r="C290" s="13"/>
      <c r="D290" s="13"/>
      <c r="E290" s="13"/>
      <c r="F290" s="13"/>
      <c r="G290" s="13"/>
      <c r="H290" s="17"/>
      <c r="I290" s="16"/>
      <c r="J290" s="13"/>
      <c r="K290" s="14" t="str">
        <f aca="false">IF(F290="","",IF(J290="","Pendiente OC",IF(COUNTIF(Seguimiento_OC!$A:$A,J290)=0,"OC no registrada",INDEX(Seguimiento_OC!$Y:$Y,MATCH(J290,Seguimiento_OC!$A:$A,0)))))</f>
        <v/>
      </c>
      <c r="L290" s="13"/>
    </row>
    <row r="291" customFormat="false" ht="15" hidden="false" customHeight="false" outlineLevel="0" collapsed="false">
      <c r="A291" s="16"/>
      <c r="B291" s="14" t="str">
        <f aca="false">IF(A291="","",MONTH(A291))</f>
        <v/>
      </c>
      <c r="C291" s="13"/>
      <c r="D291" s="13"/>
      <c r="E291" s="13"/>
      <c r="F291" s="13"/>
      <c r="G291" s="13"/>
      <c r="H291" s="17"/>
      <c r="I291" s="16"/>
      <c r="J291" s="13"/>
      <c r="K291" s="14" t="str">
        <f aca="false">IF(F291="","",IF(J291="","Pendiente OC",IF(COUNTIF(Seguimiento_OC!$A:$A,J291)=0,"OC no registrada",INDEX(Seguimiento_OC!$Y:$Y,MATCH(J291,Seguimiento_OC!$A:$A,0)))))</f>
        <v/>
      </c>
      <c r="L291" s="13"/>
    </row>
    <row r="292" customFormat="false" ht="15" hidden="false" customHeight="false" outlineLevel="0" collapsed="false">
      <c r="A292" s="16"/>
      <c r="B292" s="14" t="str">
        <f aca="false">IF(A292="","",MONTH(A292))</f>
        <v/>
      </c>
      <c r="C292" s="13"/>
      <c r="D292" s="13"/>
      <c r="E292" s="13"/>
      <c r="F292" s="13"/>
      <c r="G292" s="13"/>
      <c r="H292" s="17"/>
      <c r="I292" s="16"/>
      <c r="J292" s="13"/>
      <c r="K292" s="14" t="str">
        <f aca="false">IF(F292="","",IF(J292="","Pendiente OC",IF(COUNTIF(Seguimiento_OC!$A:$A,J292)=0,"OC no registrada",INDEX(Seguimiento_OC!$Y:$Y,MATCH(J292,Seguimiento_OC!$A:$A,0)))))</f>
        <v/>
      </c>
      <c r="L292" s="13"/>
    </row>
    <row r="293" customFormat="false" ht="15" hidden="false" customHeight="false" outlineLevel="0" collapsed="false">
      <c r="A293" s="16"/>
      <c r="B293" s="14" t="str">
        <f aca="false">IF(A293="","",MONTH(A293))</f>
        <v/>
      </c>
      <c r="C293" s="13"/>
      <c r="D293" s="13"/>
      <c r="E293" s="13"/>
      <c r="F293" s="13"/>
      <c r="G293" s="13"/>
      <c r="H293" s="17"/>
      <c r="I293" s="16"/>
      <c r="J293" s="13"/>
      <c r="K293" s="14" t="str">
        <f aca="false">IF(F293="","",IF(J293="","Pendiente OC",IF(COUNTIF(Seguimiento_OC!$A:$A,J293)=0,"OC no registrada",INDEX(Seguimiento_OC!$Y:$Y,MATCH(J293,Seguimiento_OC!$A:$A,0)))))</f>
        <v/>
      </c>
      <c r="L293" s="13"/>
    </row>
    <row r="294" customFormat="false" ht="15" hidden="false" customHeight="false" outlineLevel="0" collapsed="false">
      <c r="A294" s="16"/>
      <c r="B294" s="14" t="str">
        <f aca="false">IF(A294="","",MONTH(A294))</f>
        <v/>
      </c>
      <c r="C294" s="13"/>
      <c r="D294" s="13"/>
      <c r="E294" s="13"/>
      <c r="F294" s="13"/>
      <c r="G294" s="13"/>
      <c r="H294" s="17"/>
      <c r="I294" s="16"/>
      <c r="J294" s="13"/>
      <c r="K294" s="14" t="str">
        <f aca="false">IF(F294="","",IF(J294="","Pendiente OC",IF(COUNTIF(Seguimiento_OC!$A:$A,J294)=0,"OC no registrada",INDEX(Seguimiento_OC!$Y:$Y,MATCH(J294,Seguimiento_OC!$A:$A,0)))))</f>
        <v/>
      </c>
      <c r="L294" s="13"/>
    </row>
    <row r="295" customFormat="false" ht="15" hidden="false" customHeight="false" outlineLevel="0" collapsed="false">
      <c r="A295" s="16"/>
      <c r="B295" s="14" t="str">
        <f aca="false">IF(A295="","",MONTH(A295))</f>
        <v/>
      </c>
      <c r="C295" s="13"/>
      <c r="D295" s="13"/>
      <c r="E295" s="13"/>
      <c r="F295" s="13"/>
      <c r="G295" s="13"/>
      <c r="H295" s="17"/>
      <c r="I295" s="16"/>
      <c r="J295" s="13"/>
      <c r="K295" s="14" t="str">
        <f aca="false">IF(F295="","",IF(J295="","Pendiente OC",IF(COUNTIF(Seguimiento_OC!$A:$A,J295)=0,"OC no registrada",INDEX(Seguimiento_OC!$Y:$Y,MATCH(J295,Seguimiento_OC!$A:$A,0)))))</f>
        <v/>
      </c>
      <c r="L295" s="13"/>
    </row>
    <row r="296" customFormat="false" ht="15" hidden="false" customHeight="false" outlineLevel="0" collapsed="false">
      <c r="A296" s="16"/>
      <c r="B296" s="14" t="str">
        <f aca="false">IF(A296="","",MONTH(A296))</f>
        <v/>
      </c>
      <c r="C296" s="13"/>
      <c r="D296" s="13"/>
      <c r="E296" s="13"/>
      <c r="F296" s="13"/>
      <c r="G296" s="13"/>
      <c r="H296" s="17"/>
      <c r="I296" s="16"/>
      <c r="J296" s="13"/>
      <c r="K296" s="14" t="str">
        <f aca="false">IF(F296="","",IF(J296="","Pendiente OC",IF(COUNTIF(Seguimiento_OC!$A:$A,J296)=0,"OC no registrada",INDEX(Seguimiento_OC!$Y:$Y,MATCH(J296,Seguimiento_OC!$A:$A,0)))))</f>
        <v/>
      </c>
      <c r="L296" s="13"/>
    </row>
    <row r="297" customFormat="false" ht="15" hidden="false" customHeight="false" outlineLevel="0" collapsed="false">
      <c r="A297" s="16"/>
      <c r="B297" s="14" t="str">
        <f aca="false">IF(A297="","",MONTH(A297))</f>
        <v/>
      </c>
      <c r="C297" s="13"/>
      <c r="D297" s="13"/>
      <c r="E297" s="13"/>
      <c r="F297" s="13"/>
      <c r="G297" s="13"/>
      <c r="H297" s="17"/>
      <c r="I297" s="16"/>
      <c r="J297" s="13"/>
      <c r="K297" s="14" t="str">
        <f aca="false">IF(F297="","",IF(J297="","Pendiente OC",IF(COUNTIF(Seguimiento_OC!$A:$A,J297)=0,"OC no registrada",INDEX(Seguimiento_OC!$Y:$Y,MATCH(J297,Seguimiento_OC!$A:$A,0)))))</f>
        <v/>
      </c>
      <c r="L297" s="13"/>
    </row>
    <row r="298" customFormat="false" ht="15" hidden="false" customHeight="false" outlineLevel="0" collapsed="false">
      <c r="A298" s="16"/>
      <c r="B298" s="14" t="str">
        <f aca="false">IF(A298="","",MONTH(A298))</f>
        <v/>
      </c>
      <c r="C298" s="13"/>
      <c r="D298" s="13"/>
      <c r="E298" s="13"/>
      <c r="F298" s="13"/>
      <c r="G298" s="13"/>
      <c r="H298" s="17"/>
      <c r="I298" s="16"/>
      <c r="J298" s="13"/>
      <c r="K298" s="14" t="str">
        <f aca="false">IF(F298="","",IF(J298="","Pendiente OC",IF(COUNTIF(Seguimiento_OC!$A:$A,J298)=0,"OC no registrada",INDEX(Seguimiento_OC!$Y:$Y,MATCH(J298,Seguimiento_OC!$A:$A,0)))))</f>
        <v/>
      </c>
      <c r="L298" s="13"/>
    </row>
    <row r="299" customFormat="false" ht="15" hidden="false" customHeight="false" outlineLevel="0" collapsed="false">
      <c r="A299" s="16"/>
      <c r="B299" s="14" t="str">
        <f aca="false">IF(A299="","",MONTH(A299))</f>
        <v/>
      </c>
      <c r="C299" s="13"/>
      <c r="D299" s="13"/>
      <c r="E299" s="13"/>
      <c r="F299" s="13"/>
      <c r="G299" s="13"/>
      <c r="H299" s="17"/>
      <c r="I299" s="16"/>
      <c r="J299" s="13"/>
      <c r="K299" s="14" t="str">
        <f aca="false">IF(F299="","",IF(J299="","Pendiente OC",IF(COUNTIF(Seguimiento_OC!$A:$A,J299)=0,"OC no registrada",INDEX(Seguimiento_OC!$Y:$Y,MATCH(J299,Seguimiento_OC!$A:$A,0)))))</f>
        <v/>
      </c>
      <c r="L299" s="13"/>
    </row>
    <row r="300" customFormat="false" ht="15" hidden="false" customHeight="false" outlineLevel="0" collapsed="false">
      <c r="A300" s="16"/>
      <c r="B300" s="14" t="str">
        <f aca="false">IF(A300="","",MONTH(A300))</f>
        <v/>
      </c>
      <c r="C300" s="13"/>
      <c r="D300" s="13"/>
      <c r="E300" s="13"/>
      <c r="F300" s="13"/>
      <c r="G300" s="13"/>
      <c r="H300" s="17"/>
      <c r="I300" s="16"/>
      <c r="J300" s="13"/>
      <c r="K300" s="14" t="str">
        <f aca="false">IF(F300="","",IF(J300="","Pendiente OC",IF(COUNTIF(Seguimiento_OC!$A:$A,J300)=0,"OC no registrada",INDEX(Seguimiento_OC!$Y:$Y,MATCH(J300,Seguimiento_OC!$A:$A,0)))))</f>
        <v/>
      </c>
      <c r="L300" s="13"/>
    </row>
    <row r="301" customFormat="false" ht="15" hidden="false" customHeight="false" outlineLevel="0" collapsed="false">
      <c r="A301" s="16"/>
      <c r="B301" s="14" t="str">
        <f aca="false">IF(A301="","",MONTH(A301))</f>
        <v/>
      </c>
      <c r="C301" s="13"/>
      <c r="D301" s="13"/>
      <c r="E301" s="13"/>
      <c r="F301" s="13"/>
      <c r="G301" s="13"/>
      <c r="H301" s="17"/>
      <c r="I301" s="16"/>
      <c r="J301" s="13"/>
      <c r="K301" s="14" t="str">
        <f aca="false">IF(F301="","",IF(J301="","Pendiente OC",IF(COUNTIF(Seguimiento_OC!$A:$A,J301)=0,"OC no registrada",INDEX(Seguimiento_OC!$Y:$Y,MATCH(J301,Seguimiento_OC!$A:$A,0)))))</f>
        <v/>
      </c>
      <c r="L301" s="13"/>
    </row>
    <row r="302" customFormat="false" ht="15" hidden="false" customHeight="false" outlineLevel="0" collapsed="false">
      <c r="A302" s="16"/>
      <c r="B302" s="14" t="str">
        <f aca="false">IF(A302="","",MONTH(A302))</f>
        <v/>
      </c>
      <c r="C302" s="13"/>
      <c r="D302" s="13"/>
      <c r="E302" s="13"/>
      <c r="F302" s="13"/>
      <c r="G302" s="13"/>
      <c r="H302" s="17"/>
      <c r="I302" s="16"/>
      <c r="J302" s="13"/>
      <c r="K302" s="14" t="str">
        <f aca="false">IF(F302="","",IF(J302="","Pendiente OC",IF(COUNTIF(Seguimiento_OC!$A:$A,J302)=0,"OC no registrada",INDEX(Seguimiento_OC!$Y:$Y,MATCH(J302,Seguimiento_OC!$A:$A,0)))))</f>
        <v/>
      </c>
      <c r="L302" s="13"/>
    </row>
    <row r="303" customFormat="false" ht="15" hidden="false" customHeight="false" outlineLevel="0" collapsed="false">
      <c r="A303" s="16"/>
      <c r="B303" s="14" t="str">
        <f aca="false">IF(A303="","",MONTH(A303))</f>
        <v/>
      </c>
      <c r="C303" s="13"/>
      <c r="D303" s="13"/>
      <c r="E303" s="13"/>
      <c r="F303" s="13"/>
      <c r="G303" s="13"/>
      <c r="H303" s="17"/>
      <c r="I303" s="16"/>
      <c r="J303" s="13"/>
      <c r="K303" s="14" t="str">
        <f aca="false">IF(F303="","",IF(J303="","Pendiente OC",IF(COUNTIF(Seguimiento_OC!$A:$A,J303)=0,"OC no registrada",INDEX(Seguimiento_OC!$Y:$Y,MATCH(J303,Seguimiento_OC!$A:$A,0)))))</f>
        <v/>
      </c>
      <c r="L303" s="13"/>
    </row>
    <row r="304" customFormat="false" ht="15" hidden="false" customHeight="false" outlineLevel="0" collapsed="false">
      <c r="A304" s="16"/>
      <c r="B304" s="14" t="str">
        <f aca="false">IF(A304="","",MONTH(A304))</f>
        <v/>
      </c>
      <c r="C304" s="13"/>
      <c r="D304" s="13"/>
      <c r="E304" s="13"/>
      <c r="F304" s="13"/>
      <c r="G304" s="13"/>
      <c r="H304" s="17"/>
      <c r="I304" s="16"/>
      <c r="J304" s="13"/>
      <c r="K304" s="14" t="str">
        <f aca="false">IF(F304="","",IF(J304="","Pendiente OC",IF(COUNTIF(Seguimiento_OC!$A:$A,J304)=0,"OC no registrada",INDEX(Seguimiento_OC!$Y:$Y,MATCH(J304,Seguimiento_OC!$A:$A,0)))))</f>
        <v/>
      </c>
      <c r="L304" s="13"/>
    </row>
  </sheetData>
  <autoFilter ref="A4:L304"/>
  <dataValidations count="2">
    <dataValidation allowBlank="true" errorStyle="stop" operator="between" showDropDown="false" showErrorMessage="false" showInputMessage="false" sqref="C5:C304" type="list">
      <formula1>Parametros!$A$7:$A$36</formula1>
      <formula2>0</formula2>
    </dataValidation>
    <dataValidation allowBlank="true" errorStyle="stop" operator="between" showDropDown="false" showErrorMessage="false" showInputMessage="false" sqref="D5:D304" type="list">
      <formula1>Parametros!$B$7:$B$36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0"/>
    <col collapsed="false" customWidth="true" hidden="false" outlineLevel="0" max="4" min="4" style="0" width="32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11"/>
    <col collapsed="false" customWidth="true" hidden="false" outlineLevel="0" max="9" min="9" style="0" width="18"/>
    <col collapsed="false" customWidth="true" hidden="false" outlineLevel="0" max="10" min="10" style="0" width="11"/>
    <col collapsed="false" customWidth="true" hidden="false" outlineLevel="0" max="11" min="11" style="0" width="18"/>
    <col collapsed="false" customWidth="true" hidden="false" outlineLevel="0" max="13" min="12" style="0" width="11"/>
    <col collapsed="false" customWidth="true" hidden="false" outlineLevel="0" max="14" min="14" style="0" width="18"/>
    <col collapsed="false" customWidth="true" hidden="false" outlineLevel="0" max="15" min="15" style="0" width="13"/>
    <col collapsed="false" customWidth="true" hidden="false" outlineLevel="0" max="17" min="16" style="0" width="12"/>
    <col collapsed="false" customWidth="true" hidden="false" outlineLevel="0" max="18" min="18" style="0" width="11"/>
    <col collapsed="false" customWidth="true" hidden="false" outlineLevel="0" max="19" min="19" style="0" width="13"/>
    <col collapsed="false" customWidth="true" hidden="false" outlineLevel="0" max="20" min="20" style="0" width="9"/>
    <col collapsed="false" customWidth="true" hidden="false" outlineLevel="0" max="21" min="21" style="0" width="18"/>
  </cols>
  <sheetData>
    <row r="1" customFormat="false" ht="17.35" hidden="false" customHeight="false" outlineLevel="0" collapsed="false">
      <c r="A1" s="1" t="s">
        <v>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5" hidden="false" customHeight="false" outlineLevel="0" collapsed="false">
      <c r="A2" s="3" t="s">
        <v>100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42" hidden="false" customHeight="true" outlineLevel="0" collapsed="false">
      <c r="A4" s="15" t="s">
        <v>101</v>
      </c>
      <c r="B4" s="15" t="s">
        <v>102</v>
      </c>
      <c r="C4" s="15" t="s">
        <v>79</v>
      </c>
      <c r="D4" s="15" t="s">
        <v>81</v>
      </c>
      <c r="E4" s="15" t="s">
        <v>82</v>
      </c>
      <c r="F4" s="15" t="s">
        <v>103</v>
      </c>
      <c r="G4" s="15" t="s">
        <v>104</v>
      </c>
      <c r="H4" s="15" t="s">
        <v>105</v>
      </c>
      <c r="I4" s="15" t="s">
        <v>106</v>
      </c>
      <c r="J4" s="15" t="s">
        <v>107</v>
      </c>
      <c r="K4" s="15" t="s">
        <v>108</v>
      </c>
      <c r="L4" s="15" t="s">
        <v>109</v>
      </c>
      <c r="M4" s="15" t="s">
        <v>110</v>
      </c>
      <c r="N4" s="15" t="s">
        <v>111</v>
      </c>
      <c r="O4" s="15" t="s">
        <v>112</v>
      </c>
      <c r="P4" s="15" t="s">
        <v>113</v>
      </c>
      <c r="Q4" s="15" t="s">
        <v>114</v>
      </c>
      <c r="R4" s="15" t="s">
        <v>115</v>
      </c>
      <c r="S4" s="15" t="s">
        <v>116</v>
      </c>
      <c r="T4" s="15" t="s">
        <v>117</v>
      </c>
      <c r="U4" s="15" t="s">
        <v>118</v>
      </c>
    </row>
    <row r="5" customFormat="false" ht="15" hidden="false" customHeight="false" outlineLevel="0" collapsed="false">
      <c r="A5" s="13" t="s">
        <v>119</v>
      </c>
      <c r="B5" s="16" t="n">
        <v>46298</v>
      </c>
      <c r="C5" s="13" t="s">
        <v>39</v>
      </c>
      <c r="D5" s="13" t="s">
        <v>89</v>
      </c>
      <c r="E5" s="13" t="s">
        <v>90</v>
      </c>
      <c r="F5" s="17" t="n">
        <v>120</v>
      </c>
      <c r="G5" s="13" t="s">
        <v>40</v>
      </c>
      <c r="H5" s="18" t="n">
        <v>24.5</v>
      </c>
      <c r="I5" s="13" t="s">
        <v>47</v>
      </c>
      <c r="J5" s="18" t="n">
        <v>23.9</v>
      </c>
      <c r="K5" s="13" t="s">
        <v>54</v>
      </c>
      <c r="L5" s="18" t="n">
        <v>25.1</v>
      </c>
      <c r="M5" s="19" t="n">
        <f aca="false">IF(COUNT(H5,J5,L5)=0,"",MIN(H5,J5,L5))</f>
        <v>23.9</v>
      </c>
      <c r="N5" s="14" t="str">
        <f aca="false">IF(M5="","",IF(H5=M5,G5,IF(J5=M5,I5,K5)))</f>
        <v>Proveedor B EIRL</v>
      </c>
      <c r="O5" s="19" t="n">
        <f aca="false">IF(M5="","",M5*F5)</f>
        <v>2868</v>
      </c>
      <c r="P5" s="18" t="n">
        <v>26</v>
      </c>
      <c r="Q5" s="18" t="n">
        <v>23.5</v>
      </c>
      <c r="R5" s="19" t="n">
        <f aca="false">IF(OR(P5="",Q5=""),"",P5-Q5)</f>
        <v>2.5</v>
      </c>
      <c r="S5" s="19" t="n">
        <f aca="false">IF(R5="","",R5*F5)</f>
        <v>300</v>
      </c>
      <c r="T5" s="20" t="n">
        <f aca="false">IF(OR(R5="",P5=0),"",R5/P5)</f>
        <v>0.0961538461538462</v>
      </c>
      <c r="U5" s="13" t="s">
        <v>47</v>
      </c>
    </row>
    <row r="6" customFormat="false" ht="15" hidden="false" customHeight="false" outlineLevel="0" collapsed="false">
      <c r="A6" s="13" t="s">
        <v>120</v>
      </c>
      <c r="B6" s="16" t="n">
        <v>46298</v>
      </c>
      <c r="C6" s="13" t="s">
        <v>59</v>
      </c>
      <c r="D6" s="13" t="s">
        <v>93</v>
      </c>
      <c r="E6" s="13" t="s">
        <v>94</v>
      </c>
      <c r="F6" s="17" t="n">
        <v>80</v>
      </c>
      <c r="G6" s="13" t="s">
        <v>54</v>
      </c>
      <c r="H6" s="18" t="n">
        <v>6.8</v>
      </c>
      <c r="I6" s="13" t="s">
        <v>60</v>
      </c>
      <c r="J6" s="18" t="n">
        <v>7.1</v>
      </c>
      <c r="K6" s="13"/>
      <c r="L6" s="18"/>
      <c r="M6" s="19" t="n">
        <f aca="false">IF(COUNT(H6,J6,L6)=0,"",MIN(H6,J6,L6))</f>
        <v>6.8</v>
      </c>
      <c r="N6" s="14" t="str">
        <f aca="false">IF(M6="","",IF(H6=M6,G6,IF(J6=M6,I6,K6)))</f>
        <v>Proveedor C SA</v>
      </c>
      <c r="O6" s="19" t="n">
        <f aca="false">IF(M6="","",M6*F6)</f>
        <v>544</v>
      </c>
      <c r="P6" s="18" t="n">
        <v>7.2</v>
      </c>
      <c r="Q6" s="18" t="n">
        <v>6.7</v>
      </c>
      <c r="R6" s="19" t="n">
        <f aca="false">IF(OR(P6="",Q6=""),"",P6-Q6)</f>
        <v>0.5</v>
      </c>
      <c r="S6" s="19" t="n">
        <f aca="false">IF(R6="","",R6*F6)</f>
        <v>40</v>
      </c>
      <c r="T6" s="20" t="n">
        <f aca="false">IF(OR(R6="",P6=0),"",R6/P6)</f>
        <v>0.0694444444444445</v>
      </c>
      <c r="U6" s="13" t="s">
        <v>54</v>
      </c>
    </row>
    <row r="7" customFormat="false" ht="15" hidden="false" customHeight="false" outlineLevel="0" collapsed="false">
      <c r="A7" s="13"/>
      <c r="B7" s="16"/>
      <c r="C7" s="13"/>
      <c r="D7" s="13"/>
      <c r="E7" s="13"/>
      <c r="F7" s="17"/>
      <c r="G7" s="13"/>
      <c r="H7" s="18"/>
      <c r="I7" s="13"/>
      <c r="J7" s="18"/>
      <c r="K7" s="13"/>
      <c r="L7" s="18"/>
      <c r="M7" s="19" t="str">
        <f aca="false">IF(COUNT(H7,J7,L7)=0,"",MIN(H7,J7,L7))</f>
        <v/>
      </c>
      <c r="N7" s="14" t="str">
        <f aca="false">IF(M7="","",IF(H7=M7,G7,IF(J7=M7,I7,K7)))</f>
        <v/>
      </c>
      <c r="O7" s="19" t="str">
        <f aca="false">IF(M7="","",M7*F7)</f>
        <v/>
      </c>
      <c r="P7" s="18"/>
      <c r="Q7" s="18"/>
      <c r="R7" s="19" t="str">
        <f aca="false">IF(OR(P7="",Q7=""),"",P7-Q7)</f>
        <v/>
      </c>
      <c r="S7" s="19" t="str">
        <f aca="false">IF(R7="","",R7*F7)</f>
        <v/>
      </c>
      <c r="T7" s="20" t="str">
        <f aca="false">IF(OR(R7="",P7=0),"",R7/P7)</f>
        <v/>
      </c>
      <c r="U7" s="13"/>
    </row>
    <row r="8" customFormat="false" ht="15" hidden="false" customHeight="false" outlineLevel="0" collapsed="false">
      <c r="A8" s="13"/>
      <c r="B8" s="16"/>
      <c r="C8" s="13"/>
      <c r="D8" s="13"/>
      <c r="E8" s="13"/>
      <c r="F8" s="17"/>
      <c r="G8" s="13"/>
      <c r="H8" s="18"/>
      <c r="I8" s="13"/>
      <c r="J8" s="18"/>
      <c r="K8" s="13"/>
      <c r="L8" s="18"/>
      <c r="M8" s="19" t="str">
        <f aca="false">IF(COUNT(H8,J8,L8)=0,"",MIN(H8,J8,L8))</f>
        <v/>
      </c>
      <c r="N8" s="14" t="str">
        <f aca="false">IF(M8="","",IF(H8=M8,G8,IF(J8=M8,I8,K8)))</f>
        <v/>
      </c>
      <c r="O8" s="19" t="str">
        <f aca="false">IF(M8="","",M8*F8)</f>
        <v/>
      </c>
      <c r="P8" s="18"/>
      <c r="Q8" s="18"/>
      <c r="R8" s="19" t="str">
        <f aca="false">IF(OR(P8="",Q8=""),"",P8-Q8)</f>
        <v/>
      </c>
      <c r="S8" s="19" t="str">
        <f aca="false">IF(R8="","",R8*F8)</f>
        <v/>
      </c>
      <c r="T8" s="20" t="str">
        <f aca="false">IF(OR(R8="",P8=0),"",R8/P8)</f>
        <v/>
      </c>
      <c r="U8" s="13"/>
    </row>
    <row r="9" customFormat="false" ht="15" hidden="false" customHeight="false" outlineLevel="0" collapsed="false">
      <c r="A9" s="13"/>
      <c r="B9" s="16"/>
      <c r="C9" s="13"/>
      <c r="D9" s="13"/>
      <c r="E9" s="13"/>
      <c r="F9" s="17"/>
      <c r="G9" s="13"/>
      <c r="H9" s="18"/>
      <c r="I9" s="13"/>
      <c r="J9" s="18"/>
      <c r="K9" s="13"/>
      <c r="L9" s="18"/>
      <c r="M9" s="19" t="str">
        <f aca="false">IF(COUNT(H9,J9,L9)=0,"",MIN(H9,J9,L9))</f>
        <v/>
      </c>
      <c r="N9" s="14" t="str">
        <f aca="false">IF(M9="","",IF(H9=M9,G9,IF(J9=M9,I9,K9)))</f>
        <v/>
      </c>
      <c r="O9" s="19" t="str">
        <f aca="false">IF(M9="","",M9*F9)</f>
        <v/>
      </c>
      <c r="P9" s="18"/>
      <c r="Q9" s="18"/>
      <c r="R9" s="19" t="str">
        <f aca="false">IF(OR(P9="",Q9=""),"",P9-Q9)</f>
        <v/>
      </c>
      <c r="S9" s="19" t="str">
        <f aca="false">IF(R9="","",R9*F9)</f>
        <v/>
      </c>
      <c r="T9" s="20" t="str">
        <f aca="false">IF(OR(R9="",P9=0),"",R9/P9)</f>
        <v/>
      </c>
      <c r="U9" s="13"/>
    </row>
    <row r="10" customFormat="false" ht="15" hidden="false" customHeight="false" outlineLevel="0" collapsed="false">
      <c r="A10" s="13"/>
      <c r="B10" s="16"/>
      <c r="C10" s="13"/>
      <c r="D10" s="13"/>
      <c r="E10" s="13"/>
      <c r="F10" s="17"/>
      <c r="G10" s="13"/>
      <c r="H10" s="18"/>
      <c r="I10" s="13"/>
      <c r="J10" s="18"/>
      <c r="K10" s="13"/>
      <c r="L10" s="18"/>
      <c r="M10" s="19" t="str">
        <f aca="false">IF(COUNT(H10,J10,L10)=0,"",MIN(H10,J10,L10))</f>
        <v/>
      </c>
      <c r="N10" s="14" t="str">
        <f aca="false">IF(M10="","",IF(H10=M10,G10,IF(J10=M10,I10,K10)))</f>
        <v/>
      </c>
      <c r="O10" s="19" t="str">
        <f aca="false">IF(M10="","",M10*F10)</f>
        <v/>
      </c>
      <c r="P10" s="18"/>
      <c r="Q10" s="18"/>
      <c r="R10" s="19" t="str">
        <f aca="false">IF(OR(P10="",Q10=""),"",P10-Q10)</f>
        <v/>
      </c>
      <c r="S10" s="19" t="str">
        <f aca="false">IF(R10="","",R10*F10)</f>
        <v/>
      </c>
      <c r="T10" s="20" t="str">
        <f aca="false">IF(OR(R10="",P10=0),"",R10/P10)</f>
        <v/>
      </c>
      <c r="U10" s="13"/>
    </row>
    <row r="11" customFormat="false" ht="15" hidden="false" customHeight="false" outlineLevel="0" collapsed="false">
      <c r="A11" s="13"/>
      <c r="B11" s="16"/>
      <c r="C11" s="13"/>
      <c r="D11" s="13"/>
      <c r="E11" s="13"/>
      <c r="F11" s="17"/>
      <c r="G11" s="13"/>
      <c r="H11" s="18"/>
      <c r="I11" s="13"/>
      <c r="J11" s="18"/>
      <c r="K11" s="13"/>
      <c r="L11" s="18"/>
      <c r="M11" s="19" t="str">
        <f aca="false">IF(COUNT(H11,J11,L11)=0,"",MIN(H11,J11,L11))</f>
        <v/>
      </c>
      <c r="N11" s="14" t="str">
        <f aca="false">IF(M11="","",IF(H11=M11,G11,IF(J11=M11,I11,K11)))</f>
        <v/>
      </c>
      <c r="O11" s="19" t="str">
        <f aca="false">IF(M11="","",M11*F11)</f>
        <v/>
      </c>
      <c r="P11" s="18"/>
      <c r="Q11" s="18"/>
      <c r="R11" s="19" t="str">
        <f aca="false">IF(OR(P11="",Q11=""),"",P11-Q11)</f>
        <v/>
      </c>
      <c r="S11" s="19" t="str">
        <f aca="false">IF(R11="","",R11*F11)</f>
        <v/>
      </c>
      <c r="T11" s="20" t="str">
        <f aca="false">IF(OR(R11="",P11=0),"",R11/P11)</f>
        <v/>
      </c>
      <c r="U11" s="13"/>
    </row>
    <row r="12" customFormat="false" ht="15" hidden="false" customHeight="false" outlineLevel="0" collapsed="false">
      <c r="A12" s="13"/>
      <c r="B12" s="16"/>
      <c r="C12" s="13"/>
      <c r="D12" s="13"/>
      <c r="E12" s="13"/>
      <c r="F12" s="17"/>
      <c r="G12" s="13"/>
      <c r="H12" s="18"/>
      <c r="I12" s="13"/>
      <c r="J12" s="18"/>
      <c r="K12" s="13"/>
      <c r="L12" s="18"/>
      <c r="M12" s="19" t="str">
        <f aca="false">IF(COUNT(H12,J12,L12)=0,"",MIN(H12,J12,L12))</f>
        <v/>
      </c>
      <c r="N12" s="14" t="str">
        <f aca="false">IF(M12="","",IF(H12=M12,G12,IF(J12=M12,I12,K12)))</f>
        <v/>
      </c>
      <c r="O12" s="19" t="str">
        <f aca="false">IF(M12="","",M12*F12)</f>
        <v/>
      </c>
      <c r="P12" s="18"/>
      <c r="Q12" s="18"/>
      <c r="R12" s="19" t="str">
        <f aca="false">IF(OR(P12="",Q12=""),"",P12-Q12)</f>
        <v/>
      </c>
      <c r="S12" s="19" t="str">
        <f aca="false">IF(R12="","",R12*F12)</f>
        <v/>
      </c>
      <c r="T12" s="20" t="str">
        <f aca="false">IF(OR(R12="",P12=0),"",R12/P12)</f>
        <v/>
      </c>
      <c r="U12" s="13"/>
    </row>
    <row r="13" customFormat="false" ht="15" hidden="false" customHeight="false" outlineLevel="0" collapsed="false">
      <c r="A13" s="13"/>
      <c r="B13" s="16"/>
      <c r="C13" s="13"/>
      <c r="D13" s="13"/>
      <c r="E13" s="13"/>
      <c r="F13" s="17"/>
      <c r="G13" s="13"/>
      <c r="H13" s="18"/>
      <c r="I13" s="13"/>
      <c r="J13" s="18"/>
      <c r="K13" s="13"/>
      <c r="L13" s="18"/>
      <c r="M13" s="19" t="str">
        <f aca="false">IF(COUNT(H13,J13,L13)=0,"",MIN(H13,J13,L13))</f>
        <v/>
      </c>
      <c r="N13" s="14" t="str">
        <f aca="false">IF(M13="","",IF(H13=M13,G13,IF(J13=M13,I13,K13)))</f>
        <v/>
      </c>
      <c r="O13" s="19" t="str">
        <f aca="false">IF(M13="","",M13*F13)</f>
        <v/>
      </c>
      <c r="P13" s="18"/>
      <c r="Q13" s="18"/>
      <c r="R13" s="19" t="str">
        <f aca="false">IF(OR(P13="",Q13=""),"",P13-Q13)</f>
        <v/>
      </c>
      <c r="S13" s="19" t="str">
        <f aca="false">IF(R13="","",R13*F13)</f>
        <v/>
      </c>
      <c r="T13" s="20" t="str">
        <f aca="false">IF(OR(R13="",P13=0),"",R13/P13)</f>
        <v/>
      </c>
      <c r="U13" s="13"/>
    </row>
    <row r="14" customFormat="false" ht="15" hidden="false" customHeight="false" outlineLevel="0" collapsed="false">
      <c r="A14" s="13"/>
      <c r="B14" s="16"/>
      <c r="C14" s="13"/>
      <c r="D14" s="13"/>
      <c r="E14" s="13"/>
      <c r="F14" s="17"/>
      <c r="G14" s="13"/>
      <c r="H14" s="18"/>
      <c r="I14" s="13"/>
      <c r="J14" s="18"/>
      <c r="K14" s="13"/>
      <c r="L14" s="18"/>
      <c r="M14" s="19" t="str">
        <f aca="false">IF(COUNT(H14,J14,L14)=0,"",MIN(H14,J14,L14))</f>
        <v/>
      </c>
      <c r="N14" s="14" t="str">
        <f aca="false">IF(M14="","",IF(H14=M14,G14,IF(J14=M14,I14,K14)))</f>
        <v/>
      </c>
      <c r="O14" s="19" t="str">
        <f aca="false">IF(M14="","",M14*F14)</f>
        <v/>
      </c>
      <c r="P14" s="18"/>
      <c r="Q14" s="18"/>
      <c r="R14" s="19" t="str">
        <f aca="false">IF(OR(P14="",Q14=""),"",P14-Q14)</f>
        <v/>
      </c>
      <c r="S14" s="19" t="str">
        <f aca="false">IF(R14="","",R14*F14)</f>
        <v/>
      </c>
      <c r="T14" s="20" t="str">
        <f aca="false">IF(OR(R14="",P14=0),"",R14/P14)</f>
        <v/>
      </c>
      <c r="U14" s="13"/>
    </row>
    <row r="15" customFormat="false" ht="15" hidden="false" customHeight="false" outlineLevel="0" collapsed="false">
      <c r="A15" s="13"/>
      <c r="B15" s="16"/>
      <c r="C15" s="13"/>
      <c r="D15" s="13"/>
      <c r="E15" s="13"/>
      <c r="F15" s="17"/>
      <c r="G15" s="13"/>
      <c r="H15" s="18"/>
      <c r="I15" s="13"/>
      <c r="J15" s="18"/>
      <c r="K15" s="13"/>
      <c r="L15" s="18"/>
      <c r="M15" s="19" t="str">
        <f aca="false">IF(COUNT(H15,J15,L15)=0,"",MIN(H15,J15,L15))</f>
        <v/>
      </c>
      <c r="N15" s="14" t="str">
        <f aca="false">IF(M15="","",IF(H15=M15,G15,IF(J15=M15,I15,K15)))</f>
        <v/>
      </c>
      <c r="O15" s="19" t="str">
        <f aca="false">IF(M15="","",M15*F15)</f>
        <v/>
      </c>
      <c r="P15" s="18"/>
      <c r="Q15" s="18"/>
      <c r="R15" s="19" t="str">
        <f aca="false">IF(OR(P15="",Q15=""),"",P15-Q15)</f>
        <v/>
      </c>
      <c r="S15" s="19" t="str">
        <f aca="false">IF(R15="","",R15*F15)</f>
        <v/>
      </c>
      <c r="T15" s="20" t="str">
        <f aca="false">IF(OR(R15="",P15=0),"",R15/P15)</f>
        <v/>
      </c>
      <c r="U15" s="13"/>
    </row>
    <row r="16" customFormat="false" ht="15" hidden="false" customHeight="false" outlineLevel="0" collapsed="false">
      <c r="A16" s="13"/>
      <c r="B16" s="16"/>
      <c r="C16" s="13"/>
      <c r="D16" s="13"/>
      <c r="E16" s="13"/>
      <c r="F16" s="17"/>
      <c r="G16" s="13"/>
      <c r="H16" s="18"/>
      <c r="I16" s="13"/>
      <c r="J16" s="18"/>
      <c r="K16" s="13"/>
      <c r="L16" s="18"/>
      <c r="M16" s="19" t="str">
        <f aca="false">IF(COUNT(H16,J16,L16)=0,"",MIN(H16,J16,L16))</f>
        <v/>
      </c>
      <c r="N16" s="14" t="str">
        <f aca="false">IF(M16="","",IF(H16=M16,G16,IF(J16=M16,I16,K16)))</f>
        <v/>
      </c>
      <c r="O16" s="19" t="str">
        <f aca="false">IF(M16="","",M16*F16)</f>
        <v/>
      </c>
      <c r="P16" s="18"/>
      <c r="Q16" s="18"/>
      <c r="R16" s="19" t="str">
        <f aca="false">IF(OR(P16="",Q16=""),"",P16-Q16)</f>
        <v/>
      </c>
      <c r="S16" s="19" t="str">
        <f aca="false">IF(R16="","",R16*F16)</f>
        <v/>
      </c>
      <c r="T16" s="20" t="str">
        <f aca="false">IF(OR(R16="",P16=0),"",R16/P16)</f>
        <v/>
      </c>
      <c r="U16" s="13"/>
    </row>
    <row r="17" customFormat="false" ht="15" hidden="false" customHeight="false" outlineLevel="0" collapsed="false">
      <c r="A17" s="13"/>
      <c r="B17" s="16"/>
      <c r="C17" s="13"/>
      <c r="D17" s="13"/>
      <c r="E17" s="13"/>
      <c r="F17" s="17"/>
      <c r="G17" s="13"/>
      <c r="H17" s="18"/>
      <c r="I17" s="13"/>
      <c r="J17" s="18"/>
      <c r="K17" s="13"/>
      <c r="L17" s="18"/>
      <c r="M17" s="19" t="str">
        <f aca="false">IF(COUNT(H17,J17,L17)=0,"",MIN(H17,J17,L17))</f>
        <v/>
      </c>
      <c r="N17" s="14" t="str">
        <f aca="false">IF(M17="","",IF(H17=M17,G17,IF(J17=M17,I17,K17)))</f>
        <v/>
      </c>
      <c r="O17" s="19" t="str">
        <f aca="false">IF(M17="","",M17*F17)</f>
        <v/>
      </c>
      <c r="P17" s="18"/>
      <c r="Q17" s="18"/>
      <c r="R17" s="19" t="str">
        <f aca="false">IF(OR(P17="",Q17=""),"",P17-Q17)</f>
        <v/>
      </c>
      <c r="S17" s="19" t="str">
        <f aca="false">IF(R17="","",R17*F17)</f>
        <v/>
      </c>
      <c r="T17" s="20" t="str">
        <f aca="false">IF(OR(R17="",P17=0),"",R17/P17)</f>
        <v/>
      </c>
      <c r="U17" s="13"/>
    </row>
    <row r="18" customFormat="false" ht="15" hidden="false" customHeight="false" outlineLevel="0" collapsed="false">
      <c r="A18" s="13"/>
      <c r="B18" s="16"/>
      <c r="C18" s="13"/>
      <c r="D18" s="13"/>
      <c r="E18" s="13"/>
      <c r="F18" s="17"/>
      <c r="G18" s="13"/>
      <c r="H18" s="18"/>
      <c r="I18" s="13"/>
      <c r="J18" s="18"/>
      <c r="K18" s="13"/>
      <c r="L18" s="18"/>
      <c r="M18" s="19" t="str">
        <f aca="false">IF(COUNT(H18,J18,L18)=0,"",MIN(H18,J18,L18))</f>
        <v/>
      </c>
      <c r="N18" s="14" t="str">
        <f aca="false">IF(M18="","",IF(H18=M18,G18,IF(J18=M18,I18,K18)))</f>
        <v/>
      </c>
      <c r="O18" s="19" t="str">
        <f aca="false">IF(M18="","",M18*F18)</f>
        <v/>
      </c>
      <c r="P18" s="18"/>
      <c r="Q18" s="18"/>
      <c r="R18" s="19" t="str">
        <f aca="false">IF(OR(P18="",Q18=""),"",P18-Q18)</f>
        <v/>
      </c>
      <c r="S18" s="19" t="str">
        <f aca="false">IF(R18="","",R18*F18)</f>
        <v/>
      </c>
      <c r="T18" s="20" t="str">
        <f aca="false">IF(OR(R18="",P18=0),"",R18/P18)</f>
        <v/>
      </c>
      <c r="U18" s="13"/>
    </row>
    <row r="19" customFormat="false" ht="15" hidden="false" customHeight="false" outlineLevel="0" collapsed="false">
      <c r="A19" s="13"/>
      <c r="B19" s="16"/>
      <c r="C19" s="13"/>
      <c r="D19" s="13"/>
      <c r="E19" s="13"/>
      <c r="F19" s="17"/>
      <c r="G19" s="13"/>
      <c r="H19" s="18"/>
      <c r="I19" s="13"/>
      <c r="J19" s="18"/>
      <c r="K19" s="13"/>
      <c r="L19" s="18"/>
      <c r="M19" s="19" t="str">
        <f aca="false">IF(COUNT(H19,J19,L19)=0,"",MIN(H19,J19,L19))</f>
        <v/>
      </c>
      <c r="N19" s="14" t="str">
        <f aca="false">IF(M19="","",IF(H19=M19,G19,IF(J19=M19,I19,K19)))</f>
        <v/>
      </c>
      <c r="O19" s="19" t="str">
        <f aca="false">IF(M19="","",M19*F19)</f>
        <v/>
      </c>
      <c r="P19" s="18"/>
      <c r="Q19" s="18"/>
      <c r="R19" s="19" t="str">
        <f aca="false">IF(OR(P19="",Q19=""),"",P19-Q19)</f>
        <v/>
      </c>
      <c r="S19" s="19" t="str">
        <f aca="false">IF(R19="","",R19*F19)</f>
        <v/>
      </c>
      <c r="T19" s="20" t="str">
        <f aca="false">IF(OR(R19="",P19=0),"",R19/P19)</f>
        <v/>
      </c>
      <c r="U19" s="13"/>
    </row>
    <row r="20" customFormat="false" ht="15" hidden="false" customHeight="false" outlineLevel="0" collapsed="false">
      <c r="A20" s="13"/>
      <c r="B20" s="16"/>
      <c r="C20" s="13"/>
      <c r="D20" s="13"/>
      <c r="E20" s="13"/>
      <c r="F20" s="17"/>
      <c r="G20" s="13"/>
      <c r="H20" s="18"/>
      <c r="I20" s="13"/>
      <c r="J20" s="18"/>
      <c r="K20" s="13"/>
      <c r="L20" s="18"/>
      <c r="M20" s="19" t="str">
        <f aca="false">IF(COUNT(H20,J20,L20)=0,"",MIN(H20,J20,L20))</f>
        <v/>
      </c>
      <c r="N20" s="14" t="str">
        <f aca="false">IF(M20="","",IF(H20=M20,G20,IF(J20=M20,I20,K20)))</f>
        <v/>
      </c>
      <c r="O20" s="19" t="str">
        <f aca="false">IF(M20="","",M20*F20)</f>
        <v/>
      </c>
      <c r="P20" s="18"/>
      <c r="Q20" s="18"/>
      <c r="R20" s="19" t="str">
        <f aca="false">IF(OR(P20="",Q20=""),"",P20-Q20)</f>
        <v/>
      </c>
      <c r="S20" s="19" t="str">
        <f aca="false">IF(R20="","",R20*F20)</f>
        <v/>
      </c>
      <c r="T20" s="20" t="str">
        <f aca="false">IF(OR(R20="",P20=0),"",R20/P20)</f>
        <v/>
      </c>
      <c r="U20" s="13"/>
    </row>
    <row r="21" customFormat="false" ht="15" hidden="false" customHeight="false" outlineLevel="0" collapsed="false">
      <c r="A21" s="13"/>
      <c r="B21" s="16"/>
      <c r="C21" s="13"/>
      <c r="D21" s="13"/>
      <c r="E21" s="13"/>
      <c r="F21" s="17"/>
      <c r="G21" s="13"/>
      <c r="H21" s="18"/>
      <c r="I21" s="13"/>
      <c r="J21" s="18"/>
      <c r="K21" s="13"/>
      <c r="L21" s="18"/>
      <c r="M21" s="19" t="str">
        <f aca="false">IF(COUNT(H21,J21,L21)=0,"",MIN(H21,J21,L21))</f>
        <v/>
      </c>
      <c r="N21" s="14" t="str">
        <f aca="false">IF(M21="","",IF(H21=M21,G21,IF(J21=M21,I21,K21)))</f>
        <v/>
      </c>
      <c r="O21" s="19" t="str">
        <f aca="false">IF(M21="","",M21*F21)</f>
        <v/>
      </c>
      <c r="P21" s="18"/>
      <c r="Q21" s="18"/>
      <c r="R21" s="19" t="str">
        <f aca="false">IF(OR(P21="",Q21=""),"",P21-Q21)</f>
        <v/>
      </c>
      <c r="S21" s="19" t="str">
        <f aca="false">IF(R21="","",R21*F21)</f>
        <v/>
      </c>
      <c r="T21" s="20" t="str">
        <f aca="false">IF(OR(R21="",P21=0),"",R21/P21)</f>
        <v/>
      </c>
      <c r="U21" s="13"/>
    </row>
    <row r="22" customFormat="false" ht="15" hidden="false" customHeight="false" outlineLevel="0" collapsed="false">
      <c r="A22" s="13"/>
      <c r="B22" s="16"/>
      <c r="C22" s="13"/>
      <c r="D22" s="13"/>
      <c r="E22" s="13"/>
      <c r="F22" s="17"/>
      <c r="G22" s="13"/>
      <c r="H22" s="18"/>
      <c r="I22" s="13"/>
      <c r="J22" s="18"/>
      <c r="K22" s="13"/>
      <c r="L22" s="18"/>
      <c r="M22" s="19" t="str">
        <f aca="false">IF(COUNT(H22,J22,L22)=0,"",MIN(H22,J22,L22))</f>
        <v/>
      </c>
      <c r="N22" s="14" t="str">
        <f aca="false">IF(M22="","",IF(H22=M22,G22,IF(J22=M22,I22,K22)))</f>
        <v/>
      </c>
      <c r="O22" s="19" t="str">
        <f aca="false">IF(M22="","",M22*F22)</f>
        <v/>
      </c>
      <c r="P22" s="18"/>
      <c r="Q22" s="18"/>
      <c r="R22" s="19" t="str">
        <f aca="false">IF(OR(P22="",Q22=""),"",P22-Q22)</f>
        <v/>
      </c>
      <c r="S22" s="19" t="str">
        <f aca="false">IF(R22="","",R22*F22)</f>
        <v/>
      </c>
      <c r="T22" s="20" t="str">
        <f aca="false">IF(OR(R22="",P22=0),"",R22/P22)</f>
        <v/>
      </c>
      <c r="U22" s="13"/>
    </row>
    <row r="23" customFormat="false" ht="15" hidden="false" customHeight="false" outlineLevel="0" collapsed="false">
      <c r="A23" s="13"/>
      <c r="B23" s="16"/>
      <c r="C23" s="13"/>
      <c r="D23" s="13"/>
      <c r="E23" s="13"/>
      <c r="F23" s="17"/>
      <c r="G23" s="13"/>
      <c r="H23" s="18"/>
      <c r="I23" s="13"/>
      <c r="J23" s="18"/>
      <c r="K23" s="13"/>
      <c r="L23" s="18"/>
      <c r="M23" s="19" t="str">
        <f aca="false">IF(COUNT(H23,J23,L23)=0,"",MIN(H23,J23,L23))</f>
        <v/>
      </c>
      <c r="N23" s="14" t="str">
        <f aca="false">IF(M23="","",IF(H23=M23,G23,IF(J23=M23,I23,K23)))</f>
        <v/>
      </c>
      <c r="O23" s="19" t="str">
        <f aca="false">IF(M23="","",M23*F23)</f>
        <v/>
      </c>
      <c r="P23" s="18"/>
      <c r="Q23" s="18"/>
      <c r="R23" s="19" t="str">
        <f aca="false">IF(OR(P23="",Q23=""),"",P23-Q23)</f>
        <v/>
      </c>
      <c r="S23" s="19" t="str">
        <f aca="false">IF(R23="","",R23*F23)</f>
        <v/>
      </c>
      <c r="T23" s="20" t="str">
        <f aca="false">IF(OR(R23="",P23=0),"",R23/P23)</f>
        <v/>
      </c>
      <c r="U23" s="13"/>
    </row>
    <row r="24" customFormat="false" ht="15" hidden="false" customHeight="false" outlineLevel="0" collapsed="false">
      <c r="A24" s="13"/>
      <c r="B24" s="16"/>
      <c r="C24" s="13"/>
      <c r="D24" s="13"/>
      <c r="E24" s="13"/>
      <c r="F24" s="17"/>
      <c r="G24" s="13"/>
      <c r="H24" s="18"/>
      <c r="I24" s="13"/>
      <c r="J24" s="18"/>
      <c r="K24" s="13"/>
      <c r="L24" s="18"/>
      <c r="M24" s="19" t="str">
        <f aca="false">IF(COUNT(H24,J24,L24)=0,"",MIN(H24,J24,L24))</f>
        <v/>
      </c>
      <c r="N24" s="14" t="str">
        <f aca="false">IF(M24="","",IF(H24=M24,G24,IF(J24=M24,I24,K24)))</f>
        <v/>
      </c>
      <c r="O24" s="19" t="str">
        <f aca="false">IF(M24="","",M24*F24)</f>
        <v/>
      </c>
      <c r="P24" s="18"/>
      <c r="Q24" s="18"/>
      <c r="R24" s="19" t="str">
        <f aca="false">IF(OR(P24="",Q24=""),"",P24-Q24)</f>
        <v/>
      </c>
      <c r="S24" s="19" t="str">
        <f aca="false">IF(R24="","",R24*F24)</f>
        <v/>
      </c>
      <c r="T24" s="20" t="str">
        <f aca="false">IF(OR(R24="",P24=0),"",R24/P24)</f>
        <v/>
      </c>
      <c r="U24" s="13"/>
    </row>
    <row r="25" customFormat="false" ht="15" hidden="false" customHeight="false" outlineLevel="0" collapsed="false">
      <c r="A25" s="13"/>
      <c r="B25" s="16"/>
      <c r="C25" s="13"/>
      <c r="D25" s="13"/>
      <c r="E25" s="13"/>
      <c r="F25" s="17"/>
      <c r="G25" s="13"/>
      <c r="H25" s="18"/>
      <c r="I25" s="13"/>
      <c r="J25" s="18"/>
      <c r="K25" s="13"/>
      <c r="L25" s="18"/>
      <c r="M25" s="19" t="str">
        <f aca="false">IF(COUNT(H25,J25,L25)=0,"",MIN(H25,J25,L25))</f>
        <v/>
      </c>
      <c r="N25" s="14" t="str">
        <f aca="false">IF(M25="","",IF(H25=M25,G25,IF(J25=M25,I25,K25)))</f>
        <v/>
      </c>
      <c r="O25" s="19" t="str">
        <f aca="false">IF(M25="","",M25*F25)</f>
        <v/>
      </c>
      <c r="P25" s="18"/>
      <c r="Q25" s="18"/>
      <c r="R25" s="19" t="str">
        <f aca="false">IF(OR(P25="",Q25=""),"",P25-Q25)</f>
        <v/>
      </c>
      <c r="S25" s="19" t="str">
        <f aca="false">IF(R25="","",R25*F25)</f>
        <v/>
      </c>
      <c r="T25" s="20" t="str">
        <f aca="false">IF(OR(R25="",P25=0),"",R25/P25)</f>
        <v/>
      </c>
      <c r="U25" s="13"/>
    </row>
    <row r="26" customFormat="false" ht="15" hidden="false" customHeight="false" outlineLevel="0" collapsed="false">
      <c r="A26" s="13"/>
      <c r="B26" s="16"/>
      <c r="C26" s="13"/>
      <c r="D26" s="13"/>
      <c r="E26" s="13"/>
      <c r="F26" s="17"/>
      <c r="G26" s="13"/>
      <c r="H26" s="18"/>
      <c r="I26" s="13"/>
      <c r="J26" s="18"/>
      <c r="K26" s="13"/>
      <c r="L26" s="18"/>
      <c r="M26" s="19" t="str">
        <f aca="false">IF(COUNT(H26,J26,L26)=0,"",MIN(H26,J26,L26))</f>
        <v/>
      </c>
      <c r="N26" s="14" t="str">
        <f aca="false">IF(M26="","",IF(H26=M26,G26,IF(J26=M26,I26,K26)))</f>
        <v/>
      </c>
      <c r="O26" s="19" t="str">
        <f aca="false">IF(M26="","",M26*F26)</f>
        <v/>
      </c>
      <c r="P26" s="18"/>
      <c r="Q26" s="18"/>
      <c r="R26" s="19" t="str">
        <f aca="false">IF(OR(P26="",Q26=""),"",P26-Q26)</f>
        <v/>
      </c>
      <c r="S26" s="19" t="str">
        <f aca="false">IF(R26="","",R26*F26)</f>
        <v/>
      </c>
      <c r="T26" s="20" t="str">
        <f aca="false">IF(OR(R26="",P26=0),"",R26/P26)</f>
        <v/>
      </c>
      <c r="U26" s="13"/>
    </row>
    <row r="27" customFormat="false" ht="15" hidden="false" customHeight="false" outlineLevel="0" collapsed="false">
      <c r="A27" s="13"/>
      <c r="B27" s="16"/>
      <c r="C27" s="13"/>
      <c r="D27" s="13"/>
      <c r="E27" s="13"/>
      <c r="F27" s="17"/>
      <c r="G27" s="13"/>
      <c r="H27" s="18"/>
      <c r="I27" s="13"/>
      <c r="J27" s="18"/>
      <c r="K27" s="13"/>
      <c r="L27" s="18"/>
      <c r="M27" s="19" t="str">
        <f aca="false">IF(COUNT(H27,J27,L27)=0,"",MIN(H27,J27,L27))</f>
        <v/>
      </c>
      <c r="N27" s="14" t="str">
        <f aca="false">IF(M27="","",IF(H27=M27,G27,IF(J27=M27,I27,K27)))</f>
        <v/>
      </c>
      <c r="O27" s="19" t="str">
        <f aca="false">IF(M27="","",M27*F27)</f>
        <v/>
      </c>
      <c r="P27" s="18"/>
      <c r="Q27" s="18"/>
      <c r="R27" s="19" t="str">
        <f aca="false">IF(OR(P27="",Q27=""),"",P27-Q27)</f>
        <v/>
      </c>
      <c r="S27" s="19" t="str">
        <f aca="false">IF(R27="","",R27*F27)</f>
        <v/>
      </c>
      <c r="T27" s="20" t="str">
        <f aca="false">IF(OR(R27="",P27=0),"",R27/P27)</f>
        <v/>
      </c>
      <c r="U27" s="13"/>
    </row>
    <row r="28" customFormat="false" ht="15" hidden="false" customHeight="false" outlineLevel="0" collapsed="false">
      <c r="A28" s="13"/>
      <c r="B28" s="16"/>
      <c r="C28" s="13"/>
      <c r="D28" s="13"/>
      <c r="E28" s="13"/>
      <c r="F28" s="17"/>
      <c r="G28" s="13"/>
      <c r="H28" s="18"/>
      <c r="I28" s="13"/>
      <c r="J28" s="18"/>
      <c r="K28" s="13"/>
      <c r="L28" s="18"/>
      <c r="M28" s="19" t="str">
        <f aca="false">IF(COUNT(H28,J28,L28)=0,"",MIN(H28,J28,L28))</f>
        <v/>
      </c>
      <c r="N28" s="14" t="str">
        <f aca="false">IF(M28="","",IF(H28=M28,G28,IF(J28=M28,I28,K28)))</f>
        <v/>
      </c>
      <c r="O28" s="19" t="str">
        <f aca="false">IF(M28="","",M28*F28)</f>
        <v/>
      </c>
      <c r="P28" s="18"/>
      <c r="Q28" s="18"/>
      <c r="R28" s="19" t="str">
        <f aca="false">IF(OR(P28="",Q28=""),"",P28-Q28)</f>
        <v/>
      </c>
      <c r="S28" s="19" t="str">
        <f aca="false">IF(R28="","",R28*F28)</f>
        <v/>
      </c>
      <c r="T28" s="20" t="str">
        <f aca="false">IF(OR(R28="",P28=0),"",R28/P28)</f>
        <v/>
      </c>
      <c r="U28" s="13"/>
    </row>
    <row r="29" customFormat="false" ht="15" hidden="false" customHeight="false" outlineLevel="0" collapsed="false">
      <c r="A29" s="13"/>
      <c r="B29" s="16"/>
      <c r="C29" s="13"/>
      <c r="D29" s="13"/>
      <c r="E29" s="13"/>
      <c r="F29" s="17"/>
      <c r="G29" s="13"/>
      <c r="H29" s="18"/>
      <c r="I29" s="13"/>
      <c r="J29" s="18"/>
      <c r="K29" s="13"/>
      <c r="L29" s="18"/>
      <c r="M29" s="19" t="str">
        <f aca="false">IF(COUNT(H29,J29,L29)=0,"",MIN(H29,J29,L29))</f>
        <v/>
      </c>
      <c r="N29" s="14" t="str">
        <f aca="false">IF(M29="","",IF(H29=M29,G29,IF(J29=M29,I29,K29)))</f>
        <v/>
      </c>
      <c r="O29" s="19" t="str">
        <f aca="false">IF(M29="","",M29*F29)</f>
        <v/>
      </c>
      <c r="P29" s="18"/>
      <c r="Q29" s="18"/>
      <c r="R29" s="19" t="str">
        <f aca="false">IF(OR(P29="",Q29=""),"",P29-Q29)</f>
        <v/>
      </c>
      <c r="S29" s="19" t="str">
        <f aca="false">IF(R29="","",R29*F29)</f>
        <v/>
      </c>
      <c r="T29" s="20" t="str">
        <f aca="false">IF(OR(R29="",P29=0),"",R29/P29)</f>
        <v/>
      </c>
      <c r="U29" s="13"/>
    </row>
    <row r="30" customFormat="false" ht="15" hidden="false" customHeight="false" outlineLevel="0" collapsed="false">
      <c r="A30" s="13"/>
      <c r="B30" s="16"/>
      <c r="C30" s="13"/>
      <c r="D30" s="13"/>
      <c r="E30" s="13"/>
      <c r="F30" s="17"/>
      <c r="G30" s="13"/>
      <c r="H30" s="18"/>
      <c r="I30" s="13"/>
      <c r="J30" s="18"/>
      <c r="K30" s="13"/>
      <c r="L30" s="18"/>
      <c r="M30" s="19" t="str">
        <f aca="false">IF(COUNT(H30,J30,L30)=0,"",MIN(H30,J30,L30))</f>
        <v/>
      </c>
      <c r="N30" s="14" t="str">
        <f aca="false">IF(M30="","",IF(H30=M30,G30,IF(J30=M30,I30,K30)))</f>
        <v/>
      </c>
      <c r="O30" s="19" t="str">
        <f aca="false">IF(M30="","",M30*F30)</f>
        <v/>
      </c>
      <c r="P30" s="18"/>
      <c r="Q30" s="18"/>
      <c r="R30" s="19" t="str">
        <f aca="false">IF(OR(P30="",Q30=""),"",P30-Q30)</f>
        <v/>
      </c>
      <c r="S30" s="19" t="str">
        <f aca="false">IF(R30="","",R30*F30)</f>
        <v/>
      </c>
      <c r="T30" s="20" t="str">
        <f aca="false">IF(OR(R30="",P30=0),"",R30/P30)</f>
        <v/>
      </c>
      <c r="U30" s="13"/>
    </row>
    <row r="31" customFormat="false" ht="15" hidden="false" customHeight="false" outlineLevel="0" collapsed="false">
      <c r="A31" s="13"/>
      <c r="B31" s="16"/>
      <c r="C31" s="13"/>
      <c r="D31" s="13"/>
      <c r="E31" s="13"/>
      <c r="F31" s="17"/>
      <c r="G31" s="13"/>
      <c r="H31" s="18"/>
      <c r="I31" s="13"/>
      <c r="J31" s="18"/>
      <c r="K31" s="13"/>
      <c r="L31" s="18"/>
      <c r="M31" s="19" t="str">
        <f aca="false">IF(COUNT(H31,J31,L31)=0,"",MIN(H31,J31,L31))</f>
        <v/>
      </c>
      <c r="N31" s="14" t="str">
        <f aca="false">IF(M31="","",IF(H31=M31,G31,IF(J31=M31,I31,K31)))</f>
        <v/>
      </c>
      <c r="O31" s="19" t="str">
        <f aca="false">IF(M31="","",M31*F31)</f>
        <v/>
      </c>
      <c r="P31" s="18"/>
      <c r="Q31" s="18"/>
      <c r="R31" s="19" t="str">
        <f aca="false">IF(OR(P31="",Q31=""),"",P31-Q31)</f>
        <v/>
      </c>
      <c r="S31" s="19" t="str">
        <f aca="false">IF(R31="","",R31*F31)</f>
        <v/>
      </c>
      <c r="T31" s="20" t="str">
        <f aca="false">IF(OR(R31="",P31=0),"",R31/P31)</f>
        <v/>
      </c>
      <c r="U31" s="13"/>
    </row>
    <row r="32" customFormat="false" ht="15" hidden="false" customHeight="false" outlineLevel="0" collapsed="false">
      <c r="A32" s="13"/>
      <c r="B32" s="16"/>
      <c r="C32" s="13"/>
      <c r="D32" s="13"/>
      <c r="E32" s="13"/>
      <c r="F32" s="17"/>
      <c r="G32" s="13"/>
      <c r="H32" s="18"/>
      <c r="I32" s="13"/>
      <c r="J32" s="18"/>
      <c r="K32" s="13"/>
      <c r="L32" s="18"/>
      <c r="M32" s="19" t="str">
        <f aca="false">IF(COUNT(H32,J32,L32)=0,"",MIN(H32,J32,L32))</f>
        <v/>
      </c>
      <c r="N32" s="14" t="str">
        <f aca="false">IF(M32="","",IF(H32=M32,G32,IF(J32=M32,I32,K32)))</f>
        <v/>
      </c>
      <c r="O32" s="19" t="str">
        <f aca="false">IF(M32="","",M32*F32)</f>
        <v/>
      </c>
      <c r="P32" s="18"/>
      <c r="Q32" s="18"/>
      <c r="R32" s="19" t="str">
        <f aca="false">IF(OR(P32="",Q32=""),"",P32-Q32)</f>
        <v/>
      </c>
      <c r="S32" s="19" t="str">
        <f aca="false">IF(R32="","",R32*F32)</f>
        <v/>
      </c>
      <c r="T32" s="20" t="str">
        <f aca="false">IF(OR(R32="",P32=0),"",R32/P32)</f>
        <v/>
      </c>
      <c r="U32" s="13"/>
    </row>
    <row r="33" customFormat="false" ht="15" hidden="false" customHeight="false" outlineLevel="0" collapsed="false">
      <c r="A33" s="13"/>
      <c r="B33" s="16"/>
      <c r="C33" s="13"/>
      <c r="D33" s="13"/>
      <c r="E33" s="13"/>
      <c r="F33" s="17"/>
      <c r="G33" s="13"/>
      <c r="H33" s="18"/>
      <c r="I33" s="13"/>
      <c r="J33" s="18"/>
      <c r="K33" s="13"/>
      <c r="L33" s="18"/>
      <c r="M33" s="19" t="str">
        <f aca="false">IF(COUNT(H33,J33,L33)=0,"",MIN(H33,J33,L33))</f>
        <v/>
      </c>
      <c r="N33" s="14" t="str">
        <f aca="false">IF(M33="","",IF(H33=M33,G33,IF(J33=M33,I33,K33)))</f>
        <v/>
      </c>
      <c r="O33" s="19" t="str">
        <f aca="false">IF(M33="","",M33*F33)</f>
        <v/>
      </c>
      <c r="P33" s="18"/>
      <c r="Q33" s="18"/>
      <c r="R33" s="19" t="str">
        <f aca="false">IF(OR(P33="",Q33=""),"",P33-Q33)</f>
        <v/>
      </c>
      <c r="S33" s="19" t="str">
        <f aca="false">IF(R33="","",R33*F33)</f>
        <v/>
      </c>
      <c r="T33" s="20" t="str">
        <f aca="false">IF(OR(R33="",P33=0),"",R33/P33)</f>
        <v/>
      </c>
      <c r="U33" s="13"/>
    </row>
    <row r="34" customFormat="false" ht="15" hidden="false" customHeight="false" outlineLevel="0" collapsed="false">
      <c r="A34" s="13"/>
      <c r="B34" s="16"/>
      <c r="C34" s="13"/>
      <c r="D34" s="13"/>
      <c r="E34" s="13"/>
      <c r="F34" s="17"/>
      <c r="G34" s="13"/>
      <c r="H34" s="18"/>
      <c r="I34" s="13"/>
      <c r="J34" s="18"/>
      <c r="K34" s="13"/>
      <c r="L34" s="18"/>
      <c r="M34" s="19" t="str">
        <f aca="false">IF(COUNT(H34,J34,L34)=0,"",MIN(H34,J34,L34))</f>
        <v/>
      </c>
      <c r="N34" s="14" t="str">
        <f aca="false">IF(M34="","",IF(H34=M34,G34,IF(J34=M34,I34,K34)))</f>
        <v/>
      </c>
      <c r="O34" s="19" t="str">
        <f aca="false">IF(M34="","",M34*F34)</f>
        <v/>
      </c>
      <c r="P34" s="18"/>
      <c r="Q34" s="18"/>
      <c r="R34" s="19" t="str">
        <f aca="false">IF(OR(P34="",Q34=""),"",P34-Q34)</f>
        <v/>
      </c>
      <c r="S34" s="19" t="str">
        <f aca="false">IF(R34="","",R34*F34)</f>
        <v/>
      </c>
      <c r="T34" s="20" t="str">
        <f aca="false">IF(OR(R34="",P34=0),"",R34/P34)</f>
        <v/>
      </c>
      <c r="U34" s="13"/>
    </row>
    <row r="35" customFormat="false" ht="15" hidden="false" customHeight="false" outlineLevel="0" collapsed="false">
      <c r="A35" s="13"/>
      <c r="B35" s="16"/>
      <c r="C35" s="13"/>
      <c r="D35" s="13"/>
      <c r="E35" s="13"/>
      <c r="F35" s="17"/>
      <c r="G35" s="13"/>
      <c r="H35" s="18"/>
      <c r="I35" s="13"/>
      <c r="J35" s="18"/>
      <c r="K35" s="13"/>
      <c r="L35" s="18"/>
      <c r="M35" s="19" t="str">
        <f aca="false">IF(COUNT(H35,J35,L35)=0,"",MIN(H35,J35,L35))</f>
        <v/>
      </c>
      <c r="N35" s="14" t="str">
        <f aca="false">IF(M35="","",IF(H35=M35,G35,IF(J35=M35,I35,K35)))</f>
        <v/>
      </c>
      <c r="O35" s="19" t="str">
        <f aca="false">IF(M35="","",M35*F35)</f>
        <v/>
      </c>
      <c r="P35" s="18"/>
      <c r="Q35" s="18"/>
      <c r="R35" s="19" t="str">
        <f aca="false">IF(OR(P35="",Q35=""),"",P35-Q35)</f>
        <v/>
      </c>
      <c r="S35" s="19" t="str">
        <f aca="false">IF(R35="","",R35*F35)</f>
        <v/>
      </c>
      <c r="T35" s="20" t="str">
        <f aca="false">IF(OR(R35="",P35=0),"",R35/P35)</f>
        <v/>
      </c>
      <c r="U35" s="13"/>
    </row>
    <row r="36" customFormat="false" ht="15" hidden="false" customHeight="false" outlineLevel="0" collapsed="false">
      <c r="A36" s="13"/>
      <c r="B36" s="16"/>
      <c r="C36" s="13"/>
      <c r="D36" s="13"/>
      <c r="E36" s="13"/>
      <c r="F36" s="17"/>
      <c r="G36" s="13"/>
      <c r="H36" s="18"/>
      <c r="I36" s="13"/>
      <c r="J36" s="18"/>
      <c r="K36" s="13"/>
      <c r="L36" s="18"/>
      <c r="M36" s="19" t="str">
        <f aca="false">IF(COUNT(H36,J36,L36)=0,"",MIN(H36,J36,L36))</f>
        <v/>
      </c>
      <c r="N36" s="14" t="str">
        <f aca="false">IF(M36="","",IF(H36=M36,G36,IF(J36=M36,I36,K36)))</f>
        <v/>
      </c>
      <c r="O36" s="19" t="str">
        <f aca="false">IF(M36="","",M36*F36)</f>
        <v/>
      </c>
      <c r="P36" s="18"/>
      <c r="Q36" s="18"/>
      <c r="R36" s="19" t="str">
        <f aca="false">IF(OR(P36="",Q36=""),"",P36-Q36)</f>
        <v/>
      </c>
      <c r="S36" s="19" t="str">
        <f aca="false">IF(R36="","",R36*F36)</f>
        <v/>
      </c>
      <c r="T36" s="20" t="str">
        <f aca="false">IF(OR(R36="",P36=0),"",R36/P36)</f>
        <v/>
      </c>
      <c r="U36" s="13"/>
    </row>
    <row r="37" customFormat="false" ht="15" hidden="false" customHeight="false" outlineLevel="0" collapsed="false">
      <c r="A37" s="13"/>
      <c r="B37" s="16"/>
      <c r="C37" s="13"/>
      <c r="D37" s="13"/>
      <c r="E37" s="13"/>
      <c r="F37" s="17"/>
      <c r="G37" s="13"/>
      <c r="H37" s="18"/>
      <c r="I37" s="13"/>
      <c r="J37" s="18"/>
      <c r="K37" s="13"/>
      <c r="L37" s="18"/>
      <c r="M37" s="19" t="str">
        <f aca="false">IF(COUNT(H37,J37,L37)=0,"",MIN(H37,J37,L37))</f>
        <v/>
      </c>
      <c r="N37" s="14" t="str">
        <f aca="false">IF(M37="","",IF(H37=M37,G37,IF(J37=M37,I37,K37)))</f>
        <v/>
      </c>
      <c r="O37" s="19" t="str">
        <f aca="false">IF(M37="","",M37*F37)</f>
        <v/>
      </c>
      <c r="P37" s="18"/>
      <c r="Q37" s="18"/>
      <c r="R37" s="19" t="str">
        <f aca="false">IF(OR(P37="",Q37=""),"",P37-Q37)</f>
        <v/>
      </c>
      <c r="S37" s="19" t="str">
        <f aca="false">IF(R37="","",R37*F37)</f>
        <v/>
      </c>
      <c r="T37" s="20" t="str">
        <f aca="false">IF(OR(R37="",P37=0),"",R37/P37)</f>
        <v/>
      </c>
      <c r="U37" s="13"/>
    </row>
    <row r="38" customFormat="false" ht="15" hidden="false" customHeight="false" outlineLevel="0" collapsed="false">
      <c r="A38" s="13"/>
      <c r="B38" s="16"/>
      <c r="C38" s="13"/>
      <c r="D38" s="13"/>
      <c r="E38" s="13"/>
      <c r="F38" s="17"/>
      <c r="G38" s="13"/>
      <c r="H38" s="18"/>
      <c r="I38" s="13"/>
      <c r="J38" s="18"/>
      <c r="K38" s="13"/>
      <c r="L38" s="18"/>
      <c r="M38" s="19" t="str">
        <f aca="false">IF(COUNT(H38,J38,L38)=0,"",MIN(H38,J38,L38))</f>
        <v/>
      </c>
      <c r="N38" s="14" t="str">
        <f aca="false">IF(M38="","",IF(H38=M38,G38,IF(J38=M38,I38,K38)))</f>
        <v/>
      </c>
      <c r="O38" s="19" t="str">
        <f aca="false">IF(M38="","",M38*F38)</f>
        <v/>
      </c>
      <c r="P38" s="18"/>
      <c r="Q38" s="18"/>
      <c r="R38" s="19" t="str">
        <f aca="false">IF(OR(P38="",Q38=""),"",P38-Q38)</f>
        <v/>
      </c>
      <c r="S38" s="19" t="str">
        <f aca="false">IF(R38="","",R38*F38)</f>
        <v/>
      </c>
      <c r="T38" s="20" t="str">
        <f aca="false">IF(OR(R38="",P38=0),"",R38/P38)</f>
        <v/>
      </c>
      <c r="U38" s="13"/>
    </row>
    <row r="39" customFormat="false" ht="15" hidden="false" customHeight="false" outlineLevel="0" collapsed="false">
      <c r="A39" s="13"/>
      <c r="B39" s="16"/>
      <c r="C39" s="13"/>
      <c r="D39" s="13"/>
      <c r="E39" s="13"/>
      <c r="F39" s="17"/>
      <c r="G39" s="13"/>
      <c r="H39" s="18"/>
      <c r="I39" s="13"/>
      <c r="J39" s="18"/>
      <c r="K39" s="13"/>
      <c r="L39" s="18"/>
      <c r="M39" s="19" t="str">
        <f aca="false">IF(COUNT(H39,J39,L39)=0,"",MIN(H39,J39,L39))</f>
        <v/>
      </c>
      <c r="N39" s="14" t="str">
        <f aca="false">IF(M39="","",IF(H39=M39,G39,IF(J39=M39,I39,K39)))</f>
        <v/>
      </c>
      <c r="O39" s="19" t="str">
        <f aca="false">IF(M39="","",M39*F39)</f>
        <v/>
      </c>
      <c r="P39" s="18"/>
      <c r="Q39" s="18"/>
      <c r="R39" s="19" t="str">
        <f aca="false">IF(OR(P39="",Q39=""),"",P39-Q39)</f>
        <v/>
      </c>
      <c r="S39" s="19" t="str">
        <f aca="false">IF(R39="","",R39*F39)</f>
        <v/>
      </c>
      <c r="T39" s="20" t="str">
        <f aca="false">IF(OR(R39="",P39=0),"",R39/P39)</f>
        <v/>
      </c>
      <c r="U39" s="13"/>
    </row>
    <row r="40" customFormat="false" ht="15" hidden="false" customHeight="false" outlineLevel="0" collapsed="false">
      <c r="A40" s="13"/>
      <c r="B40" s="16"/>
      <c r="C40" s="13"/>
      <c r="D40" s="13"/>
      <c r="E40" s="13"/>
      <c r="F40" s="17"/>
      <c r="G40" s="13"/>
      <c r="H40" s="18"/>
      <c r="I40" s="13"/>
      <c r="J40" s="18"/>
      <c r="K40" s="13"/>
      <c r="L40" s="18"/>
      <c r="M40" s="19" t="str">
        <f aca="false">IF(COUNT(H40,J40,L40)=0,"",MIN(H40,J40,L40))</f>
        <v/>
      </c>
      <c r="N40" s="14" t="str">
        <f aca="false">IF(M40="","",IF(H40=M40,G40,IF(J40=M40,I40,K40)))</f>
        <v/>
      </c>
      <c r="O40" s="19" t="str">
        <f aca="false">IF(M40="","",M40*F40)</f>
        <v/>
      </c>
      <c r="P40" s="18"/>
      <c r="Q40" s="18"/>
      <c r="R40" s="19" t="str">
        <f aca="false">IF(OR(P40="",Q40=""),"",P40-Q40)</f>
        <v/>
      </c>
      <c r="S40" s="19" t="str">
        <f aca="false">IF(R40="","",R40*F40)</f>
        <v/>
      </c>
      <c r="T40" s="20" t="str">
        <f aca="false">IF(OR(R40="",P40=0),"",R40/P40)</f>
        <v/>
      </c>
      <c r="U40" s="13"/>
    </row>
    <row r="41" customFormat="false" ht="15" hidden="false" customHeight="false" outlineLevel="0" collapsed="false">
      <c r="A41" s="13"/>
      <c r="B41" s="16"/>
      <c r="C41" s="13"/>
      <c r="D41" s="13"/>
      <c r="E41" s="13"/>
      <c r="F41" s="17"/>
      <c r="G41" s="13"/>
      <c r="H41" s="18"/>
      <c r="I41" s="13"/>
      <c r="J41" s="18"/>
      <c r="K41" s="13"/>
      <c r="L41" s="18"/>
      <c r="M41" s="19" t="str">
        <f aca="false">IF(COUNT(H41,J41,L41)=0,"",MIN(H41,J41,L41))</f>
        <v/>
      </c>
      <c r="N41" s="14" t="str">
        <f aca="false">IF(M41="","",IF(H41=M41,G41,IF(J41=M41,I41,K41)))</f>
        <v/>
      </c>
      <c r="O41" s="19" t="str">
        <f aca="false">IF(M41="","",M41*F41)</f>
        <v/>
      </c>
      <c r="P41" s="18"/>
      <c r="Q41" s="18"/>
      <c r="R41" s="19" t="str">
        <f aca="false">IF(OR(P41="",Q41=""),"",P41-Q41)</f>
        <v/>
      </c>
      <c r="S41" s="19" t="str">
        <f aca="false">IF(R41="","",R41*F41)</f>
        <v/>
      </c>
      <c r="T41" s="20" t="str">
        <f aca="false">IF(OR(R41="",P41=0),"",R41/P41)</f>
        <v/>
      </c>
      <c r="U41" s="13"/>
    </row>
    <row r="42" customFormat="false" ht="15" hidden="false" customHeight="false" outlineLevel="0" collapsed="false">
      <c r="A42" s="13"/>
      <c r="B42" s="16"/>
      <c r="C42" s="13"/>
      <c r="D42" s="13"/>
      <c r="E42" s="13"/>
      <c r="F42" s="17"/>
      <c r="G42" s="13"/>
      <c r="H42" s="18"/>
      <c r="I42" s="13"/>
      <c r="J42" s="18"/>
      <c r="K42" s="13"/>
      <c r="L42" s="18"/>
      <c r="M42" s="19" t="str">
        <f aca="false">IF(COUNT(H42,J42,L42)=0,"",MIN(H42,J42,L42))</f>
        <v/>
      </c>
      <c r="N42" s="14" t="str">
        <f aca="false">IF(M42="","",IF(H42=M42,G42,IF(J42=M42,I42,K42)))</f>
        <v/>
      </c>
      <c r="O42" s="19" t="str">
        <f aca="false">IF(M42="","",M42*F42)</f>
        <v/>
      </c>
      <c r="P42" s="18"/>
      <c r="Q42" s="18"/>
      <c r="R42" s="19" t="str">
        <f aca="false">IF(OR(P42="",Q42=""),"",P42-Q42)</f>
        <v/>
      </c>
      <c r="S42" s="19" t="str">
        <f aca="false">IF(R42="","",R42*F42)</f>
        <v/>
      </c>
      <c r="T42" s="20" t="str">
        <f aca="false">IF(OR(R42="",P42=0),"",R42/P42)</f>
        <v/>
      </c>
      <c r="U42" s="13"/>
    </row>
    <row r="43" customFormat="false" ht="15" hidden="false" customHeight="false" outlineLevel="0" collapsed="false">
      <c r="A43" s="13"/>
      <c r="B43" s="16"/>
      <c r="C43" s="13"/>
      <c r="D43" s="13"/>
      <c r="E43" s="13"/>
      <c r="F43" s="17"/>
      <c r="G43" s="13"/>
      <c r="H43" s="18"/>
      <c r="I43" s="13"/>
      <c r="J43" s="18"/>
      <c r="K43" s="13"/>
      <c r="L43" s="18"/>
      <c r="M43" s="19" t="str">
        <f aca="false">IF(COUNT(H43,J43,L43)=0,"",MIN(H43,J43,L43))</f>
        <v/>
      </c>
      <c r="N43" s="14" t="str">
        <f aca="false">IF(M43="","",IF(H43=M43,G43,IF(J43=M43,I43,K43)))</f>
        <v/>
      </c>
      <c r="O43" s="19" t="str">
        <f aca="false">IF(M43="","",M43*F43)</f>
        <v/>
      </c>
      <c r="P43" s="18"/>
      <c r="Q43" s="18"/>
      <c r="R43" s="19" t="str">
        <f aca="false">IF(OR(P43="",Q43=""),"",P43-Q43)</f>
        <v/>
      </c>
      <c r="S43" s="19" t="str">
        <f aca="false">IF(R43="","",R43*F43)</f>
        <v/>
      </c>
      <c r="T43" s="20" t="str">
        <f aca="false">IF(OR(R43="",P43=0),"",R43/P43)</f>
        <v/>
      </c>
      <c r="U43" s="13"/>
    </row>
    <row r="44" customFormat="false" ht="15" hidden="false" customHeight="false" outlineLevel="0" collapsed="false">
      <c r="A44" s="13"/>
      <c r="B44" s="16"/>
      <c r="C44" s="13"/>
      <c r="D44" s="13"/>
      <c r="E44" s="13"/>
      <c r="F44" s="17"/>
      <c r="G44" s="13"/>
      <c r="H44" s="18"/>
      <c r="I44" s="13"/>
      <c r="J44" s="18"/>
      <c r="K44" s="13"/>
      <c r="L44" s="18"/>
      <c r="M44" s="19" t="str">
        <f aca="false">IF(COUNT(H44,J44,L44)=0,"",MIN(H44,J44,L44))</f>
        <v/>
      </c>
      <c r="N44" s="14" t="str">
        <f aca="false">IF(M44="","",IF(H44=M44,G44,IF(J44=M44,I44,K44)))</f>
        <v/>
      </c>
      <c r="O44" s="19" t="str">
        <f aca="false">IF(M44="","",M44*F44)</f>
        <v/>
      </c>
      <c r="P44" s="18"/>
      <c r="Q44" s="18"/>
      <c r="R44" s="19" t="str">
        <f aca="false">IF(OR(P44="",Q44=""),"",P44-Q44)</f>
        <v/>
      </c>
      <c r="S44" s="19" t="str">
        <f aca="false">IF(R44="","",R44*F44)</f>
        <v/>
      </c>
      <c r="T44" s="20" t="str">
        <f aca="false">IF(OR(R44="",P44=0),"",R44/P44)</f>
        <v/>
      </c>
      <c r="U44" s="13"/>
    </row>
    <row r="45" customFormat="false" ht="15" hidden="false" customHeight="false" outlineLevel="0" collapsed="false">
      <c r="A45" s="13"/>
      <c r="B45" s="16"/>
      <c r="C45" s="13"/>
      <c r="D45" s="13"/>
      <c r="E45" s="13"/>
      <c r="F45" s="17"/>
      <c r="G45" s="13"/>
      <c r="H45" s="18"/>
      <c r="I45" s="13"/>
      <c r="J45" s="18"/>
      <c r="K45" s="13"/>
      <c r="L45" s="18"/>
      <c r="M45" s="19" t="str">
        <f aca="false">IF(COUNT(H45,J45,L45)=0,"",MIN(H45,J45,L45))</f>
        <v/>
      </c>
      <c r="N45" s="14" t="str">
        <f aca="false">IF(M45="","",IF(H45=M45,G45,IF(J45=M45,I45,K45)))</f>
        <v/>
      </c>
      <c r="O45" s="19" t="str">
        <f aca="false">IF(M45="","",M45*F45)</f>
        <v/>
      </c>
      <c r="P45" s="18"/>
      <c r="Q45" s="18"/>
      <c r="R45" s="19" t="str">
        <f aca="false">IF(OR(P45="",Q45=""),"",P45-Q45)</f>
        <v/>
      </c>
      <c r="S45" s="19" t="str">
        <f aca="false">IF(R45="","",R45*F45)</f>
        <v/>
      </c>
      <c r="T45" s="20" t="str">
        <f aca="false">IF(OR(R45="",P45=0),"",R45/P45)</f>
        <v/>
      </c>
      <c r="U45" s="13"/>
    </row>
    <row r="46" customFormat="false" ht="15" hidden="false" customHeight="false" outlineLevel="0" collapsed="false">
      <c r="A46" s="13"/>
      <c r="B46" s="16"/>
      <c r="C46" s="13"/>
      <c r="D46" s="13"/>
      <c r="E46" s="13"/>
      <c r="F46" s="17"/>
      <c r="G46" s="13"/>
      <c r="H46" s="18"/>
      <c r="I46" s="13"/>
      <c r="J46" s="18"/>
      <c r="K46" s="13"/>
      <c r="L46" s="18"/>
      <c r="M46" s="19" t="str">
        <f aca="false">IF(COUNT(H46,J46,L46)=0,"",MIN(H46,J46,L46))</f>
        <v/>
      </c>
      <c r="N46" s="14" t="str">
        <f aca="false">IF(M46="","",IF(H46=M46,G46,IF(J46=M46,I46,K46)))</f>
        <v/>
      </c>
      <c r="O46" s="19" t="str">
        <f aca="false">IF(M46="","",M46*F46)</f>
        <v/>
      </c>
      <c r="P46" s="18"/>
      <c r="Q46" s="18"/>
      <c r="R46" s="19" t="str">
        <f aca="false">IF(OR(P46="",Q46=""),"",P46-Q46)</f>
        <v/>
      </c>
      <c r="S46" s="19" t="str">
        <f aca="false">IF(R46="","",R46*F46)</f>
        <v/>
      </c>
      <c r="T46" s="20" t="str">
        <f aca="false">IF(OR(R46="",P46=0),"",R46/P46)</f>
        <v/>
      </c>
      <c r="U46" s="13"/>
    </row>
    <row r="47" customFormat="false" ht="15" hidden="false" customHeight="false" outlineLevel="0" collapsed="false">
      <c r="A47" s="13"/>
      <c r="B47" s="16"/>
      <c r="C47" s="13"/>
      <c r="D47" s="13"/>
      <c r="E47" s="13"/>
      <c r="F47" s="17"/>
      <c r="G47" s="13"/>
      <c r="H47" s="18"/>
      <c r="I47" s="13"/>
      <c r="J47" s="18"/>
      <c r="K47" s="13"/>
      <c r="L47" s="18"/>
      <c r="M47" s="19" t="str">
        <f aca="false">IF(COUNT(H47,J47,L47)=0,"",MIN(H47,J47,L47))</f>
        <v/>
      </c>
      <c r="N47" s="14" t="str">
        <f aca="false">IF(M47="","",IF(H47=M47,G47,IF(J47=M47,I47,K47)))</f>
        <v/>
      </c>
      <c r="O47" s="19" t="str">
        <f aca="false">IF(M47="","",M47*F47)</f>
        <v/>
      </c>
      <c r="P47" s="18"/>
      <c r="Q47" s="18"/>
      <c r="R47" s="19" t="str">
        <f aca="false">IF(OR(P47="",Q47=""),"",P47-Q47)</f>
        <v/>
      </c>
      <c r="S47" s="19" t="str">
        <f aca="false">IF(R47="","",R47*F47)</f>
        <v/>
      </c>
      <c r="T47" s="20" t="str">
        <f aca="false">IF(OR(R47="",P47=0),"",R47/P47)</f>
        <v/>
      </c>
      <c r="U47" s="13"/>
    </row>
    <row r="48" customFormat="false" ht="15" hidden="false" customHeight="false" outlineLevel="0" collapsed="false">
      <c r="A48" s="13"/>
      <c r="B48" s="16"/>
      <c r="C48" s="13"/>
      <c r="D48" s="13"/>
      <c r="E48" s="13"/>
      <c r="F48" s="17"/>
      <c r="G48" s="13"/>
      <c r="H48" s="18"/>
      <c r="I48" s="13"/>
      <c r="J48" s="18"/>
      <c r="K48" s="13"/>
      <c r="L48" s="18"/>
      <c r="M48" s="19" t="str">
        <f aca="false">IF(COUNT(H48,J48,L48)=0,"",MIN(H48,J48,L48))</f>
        <v/>
      </c>
      <c r="N48" s="14" t="str">
        <f aca="false">IF(M48="","",IF(H48=M48,G48,IF(J48=M48,I48,K48)))</f>
        <v/>
      </c>
      <c r="O48" s="19" t="str">
        <f aca="false">IF(M48="","",M48*F48)</f>
        <v/>
      </c>
      <c r="P48" s="18"/>
      <c r="Q48" s="18"/>
      <c r="R48" s="19" t="str">
        <f aca="false">IF(OR(P48="",Q48=""),"",P48-Q48)</f>
        <v/>
      </c>
      <c r="S48" s="19" t="str">
        <f aca="false">IF(R48="","",R48*F48)</f>
        <v/>
      </c>
      <c r="T48" s="20" t="str">
        <f aca="false">IF(OR(R48="",P48=0),"",R48/P48)</f>
        <v/>
      </c>
      <c r="U48" s="13"/>
    </row>
    <row r="49" customFormat="false" ht="15" hidden="false" customHeight="false" outlineLevel="0" collapsed="false">
      <c r="A49" s="13"/>
      <c r="B49" s="16"/>
      <c r="C49" s="13"/>
      <c r="D49" s="13"/>
      <c r="E49" s="13"/>
      <c r="F49" s="17"/>
      <c r="G49" s="13"/>
      <c r="H49" s="18"/>
      <c r="I49" s="13"/>
      <c r="J49" s="18"/>
      <c r="K49" s="13"/>
      <c r="L49" s="18"/>
      <c r="M49" s="19" t="str">
        <f aca="false">IF(COUNT(H49,J49,L49)=0,"",MIN(H49,J49,L49))</f>
        <v/>
      </c>
      <c r="N49" s="14" t="str">
        <f aca="false">IF(M49="","",IF(H49=M49,G49,IF(J49=M49,I49,K49)))</f>
        <v/>
      </c>
      <c r="O49" s="19" t="str">
        <f aca="false">IF(M49="","",M49*F49)</f>
        <v/>
      </c>
      <c r="P49" s="18"/>
      <c r="Q49" s="18"/>
      <c r="R49" s="19" t="str">
        <f aca="false">IF(OR(P49="",Q49=""),"",P49-Q49)</f>
        <v/>
      </c>
      <c r="S49" s="19" t="str">
        <f aca="false">IF(R49="","",R49*F49)</f>
        <v/>
      </c>
      <c r="T49" s="20" t="str">
        <f aca="false">IF(OR(R49="",P49=0),"",R49/P49)</f>
        <v/>
      </c>
      <c r="U49" s="13"/>
    </row>
    <row r="50" customFormat="false" ht="15" hidden="false" customHeight="false" outlineLevel="0" collapsed="false">
      <c r="A50" s="13"/>
      <c r="B50" s="16"/>
      <c r="C50" s="13"/>
      <c r="D50" s="13"/>
      <c r="E50" s="13"/>
      <c r="F50" s="17"/>
      <c r="G50" s="13"/>
      <c r="H50" s="18"/>
      <c r="I50" s="13"/>
      <c r="J50" s="18"/>
      <c r="K50" s="13"/>
      <c r="L50" s="18"/>
      <c r="M50" s="19" t="str">
        <f aca="false">IF(COUNT(H50,J50,L50)=0,"",MIN(H50,J50,L50))</f>
        <v/>
      </c>
      <c r="N50" s="14" t="str">
        <f aca="false">IF(M50="","",IF(H50=M50,G50,IF(J50=M50,I50,K50)))</f>
        <v/>
      </c>
      <c r="O50" s="19" t="str">
        <f aca="false">IF(M50="","",M50*F50)</f>
        <v/>
      </c>
      <c r="P50" s="18"/>
      <c r="Q50" s="18"/>
      <c r="R50" s="19" t="str">
        <f aca="false">IF(OR(P50="",Q50=""),"",P50-Q50)</f>
        <v/>
      </c>
      <c r="S50" s="19" t="str">
        <f aca="false">IF(R50="","",R50*F50)</f>
        <v/>
      </c>
      <c r="T50" s="20" t="str">
        <f aca="false">IF(OR(R50="",P50=0),"",R50/P50)</f>
        <v/>
      </c>
      <c r="U50" s="13"/>
    </row>
    <row r="51" customFormat="false" ht="15" hidden="false" customHeight="false" outlineLevel="0" collapsed="false">
      <c r="A51" s="13"/>
      <c r="B51" s="16"/>
      <c r="C51" s="13"/>
      <c r="D51" s="13"/>
      <c r="E51" s="13"/>
      <c r="F51" s="17"/>
      <c r="G51" s="13"/>
      <c r="H51" s="18"/>
      <c r="I51" s="13"/>
      <c r="J51" s="18"/>
      <c r="K51" s="13"/>
      <c r="L51" s="18"/>
      <c r="M51" s="19" t="str">
        <f aca="false">IF(COUNT(H51,J51,L51)=0,"",MIN(H51,J51,L51))</f>
        <v/>
      </c>
      <c r="N51" s="14" t="str">
        <f aca="false">IF(M51="","",IF(H51=M51,G51,IF(J51=M51,I51,K51)))</f>
        <v/>
      </c>
      <c r="O51" s="19" t="str">
        <f aca="false">IF(M51="","",M51*F51)</f>
        <v/>
      </c>
      <c r="P51" s="18"/>
      <c r="Q51" s="18"/>
      <c r="R51" s="19" t="str">
        <f aca="false">IF(OR(P51="",Q51=""),"",P51-Q51)</f>
        <v/>
      </c>
      <c r="S51" s="19" t="str">
        <f aca="false">IF(R51="","",R51*F51)</f>
        <v/>
      </c>
      <c r="T51" s="20" t="str">
        <f aca="false">IF(OR(R51="",P51=0),"",R51/P51)</f>
        <v/>
      </c>
      <c r="U51" s="13"/>
    </row>
    <row r="52" customFormat="false" ht="15" hidden="false" customHeight="false" outlineLevel="0" collapsed="false">
      <c r="A52" s="13"/>
      <c r="B52" s="16"/>
      <c r="C52" s="13"/>
      <c r="D52" s="13"/>
      <c r="E52" s="13"/>
      <c r="F52" s="17"/>
      <c r="G52" s="13"/>
      <c r="H52" s="18"/>
      <c r="I52" s="13"/>
      <c r="J52" s="18"/>
      <c r="K52" s="13"/>
      <c r="L52" s="18"/>
      <c r="M52" s="19" t="str">
        <f aca="false">IF(COUNT(H52,J52,L52)=0,"",MIN(H52,J52,L52))</f>
        <v/>
      </c>
      <c r="N52" s="14" t="str">
        <f aca="false">IF(M52="","",IF(H52=M52,G52,IF(J52=M52,I52,K52)))</f>
        <v/>
      </c>
      <c r="O52" s="19" t="str">
        <f aca="false">IF(M52="","",M52*F52)</f>
        <v/>
      </c>
      <c r="P52" s="18"/>
      <c r="Q52" s="18"/>
      <c r="R52" s="19" t="str">
        <f aca="false">IF(OR(P52="",Q52=""),"",P52-Q52)</f>
        <v/>
      </c>
      <c r="S52" s="19" t="str">
        <f aca="false">IF(R52="","",R52*F52)</f>
        <v/>
      </c>
      <c r="T52" s="20" t="str">
        <f aca="false">IF(OR(R52="",P52=0),"",R52/P52)</f>
        <v/>
      </c>
      <c r="U52" s="13"/>
    </row>
    <row r="53" customFormat="false" ht="15" hidden="false" customHeight="false" outlineLevel="0" collapsed="false">
      <c r="A53" s="13"/>
      <c r="B53" s="16"/>
      <c r="C53" s="13"/>
      <c r="D53" s="13"/>
      <c r="E53" s="13"/>
      <c r="F53" s="17"/>
      <c r="G53" s="13"/>
      <c r="H53" s="18"/>
      <c r="I53" s="13"/>
      <c r="J53" s="18"/>
      <c r="K53" s="13"/>
      <c r="L53" s="18"/>
      <c r="M53" s="19" t="str">
        <f aca="false">IF(COUNT(H53,J53,L53)=0,"",MIN(H53,J53,L53))</f>
        <v/>
      </c>
      <c r="N53" s="14" t="str">
        <f aca="false">IF(M53="","",IF(H53=M53,G53,IF(J53=M53,I53,K53)))</f>
        <v/>
      </c>
      <c r="O53" s="19" t="str">
        <f aca="false">IF(M53="","",M53*F53)</f>
        <v/>
      </c>
      <c r="P53" s="18"/>
      <c r="Q53" s="18"/>
      <c r="R53" s="19" t="str">
        <f aca="false">IF(OR(P53="",Q53=""),"",P53-Q53)</f>
        <v/>
      </c>
      <c r="S53" s="19" t="str">
        <f aca="false">IF(R53="","",R53*F53)</f>
        <v/>
      </c>
      <c r="T53" s="20" t="str">
        <f aca="false">IF(OR(R53="",P53=0),"",R53/P53)</f>
        <v/>
      </c>
      <c r="U53" s="13"/>
    </row>
    <row r="54" customFormat="false" ht="15" hidden="false" customHeight="false" outlineLevel="0" collapsed="false">
      <c r="A54" s="13"/>
      <c r="B54" s="16"/>
      <c r="C54" s="13"/>
      <c r="D54" s="13"/>
      <c r="E54" s="13"/>
      <c r="F54" s="17"/>
      <c r="G54" s="13"/>
      <c r="H54" s="18"/>
      <c r="I54" s="13"/>
      <c r="J54" s="18"/>
      <c r="K54" s="13"/>
      <c r="L54" s="18"/>
      <c r="M54" s="19" t="str">
        <f aca="false">IF(COUNT(H54,J54,L54)=0,"",MIN(H54,J54,L54))</f>
        <v/>
      </c>
      <c r="N54" s="14" t="str">
        <f aca="false">IF(M54="","",IF(H54=M54,G54,IF(J54=M54,I54,K54)))</f>
        <v/>
      </c>
      <c r="O54" s="19" t="str">
        <f aca="false">IF(M54="","",M54*F54)</f>
        <v/>
      </c>
      <c r="P54" s="18"/>
      <c r="Q54" s="18"/>
      <c r="R54" s="19" t="str">
        <f aca="false">IF(OR(P54="",Q54=""),"",P54-Q54)</f>
        <v/>
      </c>
      <c r="S54" s="19" t="str">
        <f aca="false">IF(R54="","",R54*F54)</f>
        <v/>
      </c>
      <c r="T54" s="20" t="str">
        <f aca="false">IF(OR(R54="",P54=0),"",R54/P54)</f>
        <v/>
      </c>
      <c r="U54" s="13"/>
    </row>
    <row r="55" customFormat="false" ht="15" hidden="false" customHeight="false" outlineLevel="0" collapsed="false">
      <c r="A55" s="13"/>
      <c r="B55" s="16"/>
      <c r="C55" s="13"/>
      <c r="D55" s="13"/>
      <c r="E55" s="13"/>
      <c r="F55" s="17"/>
      <c r="G55" s="13"/>
      <c r="H55" s="18"/>
      <c r="I55" s="13"/>
      <c r="J55" s="18"/>
      <c r="K55" s="13"/>
      <c r="L55" s="18"/>
      <c r="M55" s="19" t="str">
        <f aca="false">IF(COUNT(H55,J55,L55)=0,"",MIN(H55,J55,L55))</f>
        <v/>
      </c>
      <c r="N55" s="14" t="str">
        <f aca="false">IF(M55="","",IF(H55=M55,G55,IF(J55=M55,I55,K55)))</f>
        <v/>
      </c>
      <c r="O55" s="19" t="str">
        <f aca="false">IF(M55="","",M55*F55)</f>
        <v/>
      </c>
      <c r="P55" s="18"/>
      <c r="Q55" s="18"/>
      <c r="R55" s="19" t="str">
        <f aca="false">IF(OR(P55="",Q55=""),"",P55-Q55)</f>
        <v/>
      </c>
      <c r="S55" s="19" t="str">
        <f aca="false">IF(R55="","",R55*F55)</f>
        <v/>
      </c>
      <c r="T55" s="20" t="str">
        <f aca="false">IF(OR(R55="",P55=0),"",R55/P55)</f>
        <v/>
      </c>
      <c r="U55" s="13"/>
    </row>
    <row r="56" customFormat="false" ht="15" hidden="false" customHeight="false" outlineLevel="0" collapsed="false">
      <c r="A56" s="13"/>
      <c r="B56" s="16"/>
      <c r="C56" s="13"/>
      <c r="D56" s="13"/>
      <c r="E56" s="13"/>
      <c r="F56" s="17"/>
      <c r="G56" s="13"/>
      <c r="H56" s="18"/>
      <c r="I56" s="13"/>
      <c r="J56" s="18"/>
      <c r="K56" s="13"/>
      <c r="L56" s="18"/>
      <c r="M56" s="19" t="str">
        <f aca="false">IF(COUNT(H56,J56,L56)=0,"",MIN(H56,J56,L56))</f>
        <v/>
      </c>
      <c r="N56" s="14" t="str">
        <f aca="false">IF(M56="","",IF(H56=M56,G56,IF(J56=M56,I56,K56)))</f>
        <v/>
      </c>
      <c r="O56" s="19" t="str">
        <f aca="false">IF(M56="","",M56*F56)</f>
        <v/>
      </c>
      <c r="P56" s="18"/>
      <c r="Q56" s="18"/>
      <c r="R56" s="19" t="str">
        <f aca="false">IF(OR(P56="",Q56=""),"",P56-Q56)</f>
        <v/>
      </c>
      <c r="S56" s="19" t="str">
        <f aca="false">IF(R56="","",R56*F56)</f>
        <v/>
      </c>
      <c r="T56" s="20" t="str">
        <f aca="false">IF(OR(R56="",P56=0),"",R56/P56)</f>
        <v/>
      </c>
      <c r="U56" s="13"/>
    </row>
    <row r="57" customFormat="false" ht="15" hidden="false" customHeight="false" outlineLevel="0" collapsed="false">
      <c r="A57" s="13"/>
      <c r="B57" s="16"/>
      <c r="C57" s="13"/>
      <c r="D57" s="13"/>
      <c r="E57" s="13"/>
      <c r="F57" s="17"/>
      <c r="G57" s="13"/>
      <c r="H57" s="18"/>
      <c r="I57" s="13"/>
      <c r="J57" s="18"/>
      <c r="K57" s="13"/>
      <c r="L57" s="18"/>
      <c r="M57" s="19" t="str">
        <f aca="false">IF(COUNT(H57,J57,L57)=0,"",MIN(H57,J57,L57))</f>
        <v/>
      </c>
      <c r="N57" s="14" t="str">
        <f aca="false">IF(M57="","",IF(H57=M57,G57,IF(J57=M57,I57,K57)))</f>
        <v/>
      </c>
      <c r="O57" s="19" t="str">
        <f aca="false">IF(M57="","",M57*F57)</f>
        <v/>
      </c>
      <c r="P57" s="18"/>
      <c r="Q57" s="18"/>
      <c r="R57" s="19" t="str">
        <f aca="false">IF(OR(P57="",Q57=""),"",P57-Q57)</f>
        <v/>
      </c>
      <c r="S57" s="19" t="str">
        <f aca="false">IF(R57="","",R57*F57)</f>
        <v/>
      </c>
      <c r="T57" s="20" t="str">
        <f aca="false">IF(OR(R57="",P57=0),"",R57/P57)</f>
        <v/>
      </c>
      <c r="U57" s="13"/>
    </row>
    <row r="58" customFormat="false" ht="15" hidden="false" customHeight="false" outlineLevel="0" collapsed="false">
      <c r="A58" s="13"/>
      <c r="B58" s="16"/>
      <c r="C58" s="13"/>
      <c r="D58" s="13"/>
      <c r="E58" s="13"/>
      <c r="F58" s="17"/>
      <c r="G58" s="13"/>
      <c r="H58" s="18"/>
      <c r="I58" s="13"/>
      <c r="J58" s="18"/>
      <c r="K58" s="13"/>
      <c r="L58" s="18"/>
      <c r="M58" s="19" t="str">
        <f aca="false">IF(COUNT(H58,J58,L58)=0,"",MIN(H58,J58,L58))</f>
        <v/>
      </c>
      <c r="N58" s="14" t="str">
        <f aca="false">IF(M58="","",IF(H58=M58,G58,IF(J58=M58,I58,K58)))</f>
        <v/>
      </c>
      <c r="O58" s="19" t="str">
        <f aca="false">IF(M58="","",M58*F58)</f>
        <v/>
      </c>
      <c r="P58" s="18"/>
      <c r="Q58" s="18"/>
      <c r="R58" s="19" t="str">
        <f aca="false">IF(OR(P58="",Q58=""),"",P58-Q58)</f>
        <v/>
      </c>
      <c r="S58" s="19" t="str">
        <f aca="false">IF(R58="","",R58*F58)</f>
        <v/>
      </c>
      <c r="T58" s="20" t="str">
        <f aca="false">IF(OR(R58="",P58=0),"",R58/P58)</f>
        <v/>
      </c>
      <c r="U58" s="13"/>
    </row>
    <row r="59" customFormat="false" ht="15" hidden="false" customHeight="false" outlineLevel="0" collapsed="false">
      <c r="A59" s="13"/>
      <c r="B59" s="16"/>
      <c r="C59" s="13"/>
      <c r="D59" s="13"/>
      <c r="E59" s="13"/>
      <c r="F59" s="17"/>
      <c r="G59" s="13"/>
      <c r="H59" s="18"/>
      <c r="I59" s="13"/>
      <c r="J59" s="18"/>
      <c r="K59" s="13"/>
      <c r="L59" s="18"/>
      <c r="M59" s="19" t="str">
        <f aca="false">IF(COUNT(H59,J59,L59)=0,"",MIN(H59,J59,L59))</f>
        <v/>
      </c>
      <c r="N59" s="14" t="str">
        <f aca="false">IF(M59="","",IF(H59=M59,G59,IF(J59=M59,I59,K59)))</f>
        <v/>
      </c>
      <c r="O59" s="19" t="str">
        <f aca="false">IF(M59="","",M59*F59)</f>
        <v/>
      </c>
      <c r="P59" s="18"/>
      <c r="Q59" s="18"/>
      <c r="R59" s="19" t="str">
        <f aca="false">IF(OR(P59="",Q59=""),"",P59-Q59)</f>
        <v/>
      </c>
      <c r="S59" s="19" t="str">
        <f aca="false">IF(R59="","",R59*F59)</f>
        <v/>
      </c>
      <c r="T59" s="20" t="str">
        <f aca="false">IF(OR(R59="",P59=0),"",R59/P59)</f>
        <v/>
      </c>
      <c r="U59" s="13"/>
    </row>
    <row r="60" customFormat="false" ht="15" hidden="false" customHeight="false" outlineLevel="0" collapsed="false">
      <c r="A60" s="13"/>
      <c r="B60" s="16"/>
      <c r="C60" s="13"/>
      <c r="D60" s="13"/>
      <c r="E60" s="13"/>
      <c r="F60" s="17"/>
      <c r="G60" s="13"/>
      <c r="H60" s="18"/>
      <c r="I60" s="13"/>
      <c r="J60" s="18"/>
      <c r="K60" s="13"/>
      <c r="L60" s="18"/>
      <c r="M60" s="19" t="str">
        <f aca="false">IF(COUNT(H60,J60,L60)=0,"",MIN(H60,J60,L60))</f>
        <v/>
      </c>
      <c r="N60" s="14" t="str">
        <f aca="false">IF(M60="","",IF(H60=M60,G60,IF(J60=M60,I60,K60)))</f>
        <v/>
      </c>
      <c r="O60" s="19" t="str">
        <f aca="false">IF(M60="","",M60*F60)</f>
        <v/>
      </c>
      <c r="P60" s="18"/>
      <c r="Q60" s="18"/>
      <c r="R60" s="19" t="str">
        <f aca="false">IF(OR(P60="",Q60=""),"",P60-Q60)</f>
        <v/>
      </c>
      <c r="S60" s="19" t="str">
        <f aca="false">IF(R60="","",R60*F60)</f>
        <v/>
      </c>
      <c r="T60" s="20" t="str">
        <f aca="false">IF(OR(R60="",P60=0),"",R60/P60)</f>
        <v/>
      </c>
      <c r="U60" s="13"/>
    </row>
    <row r="61" customFormat="false" ht="15" hidden="false" customHeight="false" outlineLevel="0" collapsed="false">
      <c r="A61" s="13"/>
      <c r="B61" s="16"/>
      <c r="C61" s="13"/>
      <c r="D61" s="13"/>
      <c r="E61" s="13"/>
      <c r="F61" s="17"/>
      <c r="G61" s="13"/>
      <c r="H61" s="18"/>
      <c r="I61" s="13"/>
      <c r="J61" s="18"/>
      <c r="K61" s="13"/>
      <c r="L61" s="18"/>
      <c r="M61" s="19" t="str">
        <f aca="false">IF(COUNT(H61,J61,L61)=0,"",MIN(H61,J61,L61))</f>
        <v/>
      </c>
      <c r="N61" s="14" t="str">
        <f aca="false">IF(M61="","",IF(H61=M61,G61,IF(J61=M61,I61,K61)))</f>
        <v/>
      </c>
      <c r="O61" s="19" t="str">
        <f aca="false">IF(M61="","",M61*F61)</f>
        <v/>
      </c>
      <c r="P61" s="18"/>
      <c r="Q61" s="18"/>
      <c r="R61" s="19" t="str">
        <f aca="false">IF(OR(P61="",Q61=""),"",P61-Q61)</f>
        <v/>
      </c>
      <c r="S61" s="19" t="str">
        <f aca="false">IF(R61="","",R61*F61)</f>
        <v/>
      </c>
      <c r="T61" s="20" t="str">
        <f aca="false">IF(OR(R61="",P61=0),"",R61/P61)</f>
        <v/>
      </c>
      <c r="U61" s="13"/>
    </row>
    <row r="62" customFormat="false" ht="15" hidden="false" customHeight="false" outlineLevel="0" collapsed="false">
      <c r="A62" s="13"/>
      <c r="B62" s="16"/>
      <c r="C62" s="13"/>
      <c r="D62" s="13"/>
      <c r="E62" s="13"/>
      <c r="F62" s="17"/>
      <c r="G62" s="13"/>
      <c r="H62" s="18"/>
      <c r="I62" s="13"/>
      <c r="J62" s="18"/>
      <c r="K62" s="13"/>
      <c r="L62" s="18"/>
      <c r="M62" s="19" t="str">
        <f aca="false">IF(COUNT(H62,J62,L62)=0,"",MIN(H62,J62,L62))</f>
        <v/>
      </c>
      <c r="N62" s="14" t="str">
        <f aca="false">IF(M62="","",IF(H62=M62,G62,IF(J62=M62,I62,K62)))</f>
        <v/>
      </c>
      <c r="O62" s="19" t="str">
        <f aca="false">IF(M62="","",M62*F62)</f>
        <v/>
      </c>
      <c r="P62" s="18"/>
      <c r="Q62" s="18"/>
      <c r="R62" s="19" t="str">
        <f aca="false">IF(OR(P62="",Q62=""),"",P62-Q62)</f>
        <v/>
      </c>
      <c r="S62" s="19" t="str">
        <f aca="false">IF(R62="","",R62*F62)</f>
        <v/>
      </c>
      <c r="T62" s="20" t="str">
        <f aca="false">IF(OR(R62="",P62=0),"",R62/P62)</f>
        <v/>
      </c>
      <c r="U62" s="13"/>
    </row>
    <row r="63" customFormat="false" ht="15" hidden="false" customHeight="false" outlineLevel="0" collapsed="false">
      <c r="A63" s="13"/>
      <c r="B63" s="16"/>
      <c r="C63" s="13"/>
      <c r="D63" s="13"/>
      <c r="E63" s="13"/>
      <c r="F63" s="17"/>
      <c r="G63" s="13"/>
      <c r="H63" s="18"/>
      <c r="I63" s="13"/>
      <c r="J63" s="18"/>
      <c r="K63" s="13"/>
      <c r="L63" s="18"/>
      <c r="M63" s="19" t="str">
        <f aca="false">IF(COUNT(H63,J63,L63)=0,"",MIN(H63,J63,L63))</f>
        <v/>
      </c>
      <c r="N63" s="14" t="str">
        <f aca="false">IF(M63="","",IF(H63=M63,G63,IF(J63=M63,I63,K63)))</f>
        <v/>
      </c>
      <c r="O63" s="19" t="str">
        <f aca="false">IF(M63="","",M63*F63)</f>
        <v/>
      </c>
      <c r="P63" s="18"/>
      <c r="Q63" s="18"/>
      <c r="R63" s="19" t="str">
        <f aca="false">IF(OR(P63="",Q63=""),"",P63-Q63)</f>
        <v/>
      </c>
      <c r="S63" s="19" t="str">
        <f aca="false">IF(R63="","",R63*F63)</f>
        <v/>
      </c>
      <c r="T63" s="20" t="str">
        <f aca="false">IF(OR(R63="",P63=0),"",R63/P63)</f>
        <v/>
      </c>
      <c r="U63" s="13"/>
    </row>
    <row r="64" customFormat="false" ht="15" hidden="false" customHeight="false" outlineLevel="0" collapsed="false">
      <c r="A64" s="13"/>
      <c r="B64" s="16"/>
      <c r="C64" s="13"/>
      <c r="D64" s="13"/>
      <c r="E64" s="13"/>
      <c r="F64" s="17"/>
      <c r="G64" s="13"/>
      <c r="H64" s="18"/>
      <c r="I64" s="13"/>
      <c r="J64" s="18"/>
      <c r="K64" s="13"/>
      <c r="L64" s="18"/>
      <c r="M64" s="19" t="str">
        <f aca="false">IF(COUNT(H64,J64,L64)=0,"",MIN(H64,J64,L64))</f>
        <v/>
      </c>
      <c r="N64" s="14" t="str">
        <f aca="false">IF(M64="","",IF(H64=M64,G64,IF(J64=M64,I64,K64)))</f>
        <v/>
      </c>
      <c r="O64" s="19" t="str">
        <f aca="false">IF(M64="","",M64*F64)</f>
        <v/>
      </c>
      <c r="P64" s="18"/>
      <c r="Q64" s="18"/>
      <c r="R64" s="19" t="str">
        <f aca="false">IF(OR(P64="",Q64=""),"",P64-Q64)</f>
        <v/>
      </c>
      <c r="S64" s="19" t="str">
        <f aca="false">IF(R64="","",R64*F64)</f>
        <v/>
      </c>
      <c r="T64" s="20" t="str">
        <f aca="false">IF(OR(R64="",P64=0),"",R64/P64)</f>
        <v/>
      </c>
      <c r="U64" s="13"/>
    </row>
    <row r="65" customFormat="false" ht="15" hidden="false" customHeight="false" outlineLevel="0" collapsed="false">
      <c r="A65" s="13"/>
      <c r="B65" s="16"/>
      <c r="C65" s="13"/>
      <c r="D65" s="13"/>
      <c r="E65" s="13"/>
      <c r="F65" s="17"/>
      <c r="G65" s="13"/>
      <c r="H65" s="18"/>
      <c r="I65" s="13"/>
      <c r="J65" s="18"/>
      <c r="K65" s="13"/>
      <c r="L65" s="18"/>
      <c r="M65" s="19" t="str">
        <f aca="false">IF(COUNT(H65,J65,L65)=0,"",MIN(H65,J65,L65))</f>
        <v/>
      </c>
      <c r="N65" s="14" t="str">
        <f aca="false">IF(M65="","",IF(H65=M65,G65,IF(J65=M65,I65,K65)))</f>
        <v/>
      </c>
      <c r="O65" s="19" t="str">
        <f aca="false">IF(M65="","",M65*F65)</f>
        <v/>
      </c>
      <c r="P65" s="18"/>
      <c r="Q65" s="18"/>
      <c r="R65" s="19" t="str">
        <f aca="false">IF(OR(P65="",Q65=""),"",P65-Q65)</f>
        <v/>
      </c>
      <c r="S65" s="19" t="str">
        <f aca="false">IF(R65="","",R65*F65)</f>
        <v/>
      </c>
      <c r="T65" s="20" t="str">
        <f aca="false">IF(OR(R65="",P65=0),"",R65/P65)</f>
        <v/>
      </c>
      <c r="U65" s="13"/>
    </row>
    <row r="66" customFormat="false" ht="15" hidden="false" customHeight="false" outlineLevel="0" collapsed="false">
      <c r="A66" s="13"/>
      <c r="B66" s="16"/>
      <c r="C66" s="13"/>
      <c r="D66" s="13"/>
      <c r="E66" s="13"/>
      <c r="F66" s="17"/>
      <c r="G66" s="13"/>
      <c r="H66" s="18"/>
      <c r="I66" s="13"/>
      <c r="J66" s="18"/>
      <c r="K66" s="13"/>
      <c r="L66" s="18"/>
      <c r="M66" s="19" t="str">
        <f aca="false">IF(COUNT(H66,J66,L66)=0,"",MIN(H66,J66,L66))</f>
        <v/>
      </c>
      <c r="N66" s="14" t="str">
        <f aca="false">IF(M66="","",IF(H66=M66,G66,IF(J66=M66,I66,K66)))</f>
        <v/>
      </c>
      <c r="O66" s="19" t="str">
        <f aca="false">IF(M66="","",M66*F66)</f>
        <v/>
      </c>
      <c r="P66" s="18"/>
      <c r="Q66" s="18"/>
      <c r="R66" s="19" t="str">
        <f aca="false">IF(OR(P66="",Q66=""),"",P66-Q66)</f>
        <v/>
      </c>
      <c r="S66" s="19" t="str">
        <f aca="false">IF(R66="","",R66*F66)</f>
        <v/>
      </c>
      <c r="T66" s="20" t="str">
        <f aca="false">IF(OR(R66="",P66=0),"",R66/P66)</f>
        <v/>
      </c>
      <c r="U66" s="13"/>
    </row>
    <row r="67" customFormat="false" ht="15" hidden="false" customHeight="false" outlineLevel="0" collapsed="false">
      <c r="A67" s="13"/>
      <c r="B67" s="16"/>
      <c r="C67" s="13"/>
      <c r="D67" s="13"/>
      <c r="E67" s="13"/>
      <c r="F67" s="17"/>
      <c r="G67" s="13"/>
      <c r="H67" s="18"/>
      <c r="I67" s="13"/>
      <c r="J67" s="18"/>
      <c r="K67" s="13"/>
      <c r="L67" s="18"/>
      <c r="M67" s="19" t="str">
        <f aca="false">IF(COUNT(H67,J67,L67)=0,"",MIN(H67,J67,L67))</f>
        <v/>
      </c>
      <c r="N67" s="14" t="str">
        <f aca="false">IF(M67="","",IF(H67=M67,G67,IF(J67=M67,I67,K67)))</f>
        <v/>
      </c>
      <c r="O67" s="19" t="str">
        <f aca="false">IF(M67="","",M67*F67)</f>
        <v/>
      </c>
      <c r="P67" s="18"/>
      <c r="Q67" s="18"/>
      <c r="R67" s="19" t="str">
        <f aca="false">IF(OR(P67="",Q67=""),"",P67-Q67)</f>
        <v/>
      </c>
      <c r="S67" s="19" t="str">
        <f aca="false">IF(R67="","",R67*F67)</f>
        <v/>
      </c>
      <c r="T67" s="20" t="str">
        <f aca="false">IF(OR(R67="",P67=0),"",R67/P67)</f>
        <v/>
      </c>
      <c r="U67" s="13"/>
    </row>
    <row r="68" customFormat="false" ht="15" hidden="false" customHeight="false" outlineLevel="0" collapsed="false">
      <c r="A68" s="13"/>
      <c r="B68" s="16"/>
      <c r="C68" s="13"/>
      <c r="D68" s="13"/>
      <c r="E68" s="13"/>
      <c r="F68" s="17"/>
      <c r="G68" s="13"/>
      <c r="H68" s="18"/>
      <c r="I68" s="13"/>
      <c r="J68" s="18"/>
      <c r="K68" s="13"/>
      <c r="L68" s="18"/>
      <c r="M68" s="19" t="str">
        <f aca="false">IF(COUNT(H68,J68,L68)=0,"",MIN(H68,J68,L68))</f>
        <v/>
      </c>
      <c r="N68" s="14" t="str">
        <f aca="false">IF(M68="","",IF(H68=M68,G68,IF(J68=M68,I68,K68)))</f>
        <v/>
      </c>
      <c r="O68" s="19" t="str">
        <f aca="false">IF(M68="","",M68*F68)</f>
        <v/>
      </c>
      <c r="P68" s="18"/>
      <c r="Q68" s="18"/>
      <c r="R68" s="19" t="str">
        <f aca="false">IF(OR(P68="",Q68=""),"",P68-Q68)</f>
        <v/>
      </c>
      <c r="S68" s="19" t="str">
        <f aca="false">IF(R68="","",R68*F68)</f>
        <v/>
      </c>
      <c r="T68" s="20" t="str">
        <f aca="false">IF(OR(R68="",P68=0),"",R68/P68)</f>
        <v/>
      </c>
      <c r="U68" s="13"/>
    </row>
    <row r="69" customFormat="false" ht="15" hidden="false" customHeight="false" outlineLevel="0" collapsed="false">
      <c r="A69" s="13"/>
      <c r="B69" s="16"/>
      <c r="C69" s="13"/>
      <c r="D69" s="13"/>
      <c r="E69" s="13"/>
      <c r="F69" s="17"/>
      <c r="G69" s="13"/>
      <c r="H69" s="18"/>
      <c r="I69" s="13"/>
      <c r="J69" s="18"/>
      <c r="K69" s="13"/>
      <c r="L69" s="18"/>
      <c r="M69" s="19" t="str">
        <f aca="false">IF(COUNT(H69,J69,L69)=0,"",MIN(H69,J69,L69))</f>
        <v/>
      </c>
      <c r="N69" s="14" t="str">
        <f aca="false">IF(M69="","",IF(H69=M69,G69,IF(J69=M69,I69,K69)))</f>
        <v/>
      </c>
      <c r="O69" s="19" t="str">
        <f aca="false">IF(M69="","",M69*F69)</f>
        <v/>
      </c>
      <c r="P69" s="18"/>
      <c r="Q69" s="18"/>
      <c r="R69" s="19" t="str">
        <f aca="false">IF(OR(P69="",Q69=""),"",P69-Q69)</f>
        <v/>
      </c>
      <c r="S69" s="19" t="str">
        <f aca="false">IF(R69="","",R69*F69)</f>
        <v/>
      </c>
      <c r="T69" s="20" t="str">
        <f aca="false">IF(OR(R69="",P69=0),"",R69/P69)</f>
        <v/>
      </c>
      <c r="U69" s="13"/>
    </row>
    <row r="70" customFormat="false" ht="15" hidden="false" customHeight="false" outlineLevel="0" collapsed="false">
      <c r="A70" s="13"/>
      <c r="B70" s="16"/>
      <c r="C70" s="13"/>
      <c r="D70" s="13"/>
      <c r="E70" s="13"/>
      <c r="F70" s="17"/>
      <c r="G70" s="13"/>
      <c r="H70" s="18"/>
      <c r="I70" s="13"/>
      <c r="J70" s="18"/>
      <c r="K70" s="13"/>
      <c r="L70" s="18"/>
      <c r="M70" s="19" t="str">
        <f aca="false">IF(COUNT(H70,J70,L70)=0,"",MIN(H70,J70,L70))</f>
        <v/>
      </c>
      <c r="N70" s="14" t="str">
        <f aca="false">IF(M70="","",IF(H70=M70,G70,IF(J70=M70,I70,K70)))</f>
        <v/>
      </c>
      <c r="O70" s="19" t="str">
        <f aca="false">IF(M70="","",M70*F70)</f>
        <v/>
      </c>
      <c r="P70" s="18"/>
      <c r="Q70" s="18"/>
      <c r="R70" s="19" t="str">
        <f aca="false">IF(OR(P70="",Q70=""),"",P70-Q70)</f>
        <v/>
      </c>
      <c r="S70" s="19" t="str">
        <f aca="false">IF(R70="","",R70*F70)</f>
        <v/>
      </c>
      <c r="T70" s="20" t="str">
        <f aca="false">IF(OR(R70="",P70=0),"",R70/P70)</f>
        <v/>
      </c>
      <c r="U70" s="13"/>
    </row>
    <row r="71" customFormat="false" ht="15" hidden="false" customHeight="false" outlineLevel="0" collapsed="false">
      <c r="A71" s="13"/>
      <c r="B71" s="16"/>
      <c r="C71" s="13"/>
      <c r="D71" s="13"/>
      <c r="E71" s="13"/>
      <c r="F71" s="17"/>
      <c r="G71" s="13"/>
      <c r="H71" s="18"/>
      <c r="I71" s="13"/>
      <c r="J71" s="18"/>
      <c r="K71" s="13"/>
      <c r="L71" s="18"/>
      <c r="M71" s="19" t="str">
        <f aca="false">IF(COUNT(H71,J71,L71)=0,"",MIN(H71,J71,L71))</f>
        <v/>
      </c>
      <c r="N71" s="14" t="str">
        <f aca="false">IF(M71="","",IF(H71=M71,G71,IF(J71=M71,I71,K71)))</f>
        <v/>
      </c>
      <c r="O71" s="19" t="str">
        <f aca="false">IF(M71="","",M71*F71)</f>
        <v/>
      </c>
      <c r="P71" s="18"/>
      <c r="Q71" s="18"/>
      <c r="R71" s="19" t="str">
        <f aca="false">IF(OR(P71="",Q71=""),"",P71-Q71)</f>
        <v/>
      </c>
      <c r="S71" s="19" t="str">
        <f aca="false">IF(R71="","",R71*F71)</f>
        <v/>
      </c>
      <c r="T71" s="20" t="str">
        <f aca="false">IF(OR(R71="",P71=0),"",R71/P71)</f>
        <v/>
      </c>
      <c r="U71" s="13"/>
    </row>
    <row r="72" customFormat="false" ht="15" hidden="false" customHeight="false" outlineLevel="0" collapsed="false">
      <c r="A72" s="13"/>
      <c r="B72" s="16"/>
      <c r="C72" s="13"/>
      <c r="D72" s="13"/>
      <c r="E72" s="13"/>
      <c r="F72" s="17"/>
      <c r="G72" s="13"/>
      <c r="H72" s="18"/>
      <c r="I72" s="13"/>
      <c r="J72" s="18"/>
      <c r="K72" s="13"/>
      <c r="L72" s="18"/>
      <c r="M72" s="19" t="str">
        <f aca="false">IF(COUNT(H72,J72,L72)=0,"",MIN(H72,J72,L72))</f>
        <v/>
      </c>
      <c r="N72" s="14" t="str">
        <f aca="false">IF(M72="","",IF(H72=M72,G72,IF(J72=M72,I72,K72)))</f>
        <v/>
      </c>
      <c r="O72" s="19" t="str">
        <f aca="false">IF(M72="","",M72*F72)</f>
        <v/>
      </c>
      <c r="P72" s="18"/>
      <c r="Q72" s="18"/>
      <c r="R72" s="19" t="str">
        <f aca="false">IF(OR(P72="",Q72=""),"",P72-Q72)</f>
        <v/>
      </c>
      <c r="S72" s="19" t="str">
        <f aca="false">IF(R72="","",R72*F72)</f>
        <v/>
      </c>
      <c r="T72" s="20" t="str">
        <f aca="false">IF(OR(R72="",P72=0),"",R72/P72)</f>
        <v/>
      </c>
      <c r="U72" s="13"/>
    </row>
    <row r="73" customFormat="false" ht="15" hidden="false" customHeight="false" outlineLevel="0" collapsed="false">
      <c r="A73" s="13"/>
      <c r="B73" s="16"/>
      <c r="C73" s="13"/>
      <c r="D73" s="13"/>
      <c r="E73" s="13"/>
      <c r="F73" s="17"/>
      <c r="G73" s="13"/>
      <c r="H73" s="18"/>
      <c r="I73" s="13"/>
      <c r="J73" s="18"/>
      <c r="K73" s="13"/>
      <c r="L73" s="18"/>
      <c r="M73" s="19" t="str">
        <f aca="false">IF(COUNT(H73,J73,L73)=0,"",MIN(H73,J73,L73))</f>
        <v/>
      </c>
      <c r="N73" s="14" t="str">
        <f aca="false">IF(M73="","",IF(H73=M73,G73,IF(J73=M73,I73,K73)))</f>
        <v/>
      </c>
      <c r="O73" s="19" t="str">
        <f aca="false">IF(M73="","",M73*F73)</f>
        <v/>
      </c>
      <c r="P73" s="18"/>
      <c r="Q73" s="18"/>
      <c r="R73" s="19" t="str">
        <f aca="false">IF(OR(P73="",Q73=""),"",P73-Q73)</f>
        <v/>
      </c>
      <c r="S73" s="19" t="str">
        <f aca="false">IF(R73="","",R73*F73)</f>
        <v/>
      </c>
      <c r="T73" s="20" t="str">
        <f aca="false">IF(OR(R73="",P73=0),"",R73/P73)</f>
        <v/>
      </c>
      <c r="U73" s="13"/>
    </row>
    <row r="74" customFormat="false" ht="15" hidden="false" customHeight="false" outlineLevel="0" collapsed="false">
      <c r="A74" s="13"/>
      <c r="B74" s="16"/>
      <c r="C74" s="13"/>
      <c r="D74" s="13"/>
      <c r="E74" s="13"/>
      <c r="F74" s="17"/>
      <c r="G74" s="13"/>
      <c r="H74" s="18"/>
      <c r="I74" s="13"/>
      <c r="J74" s="18"/>
      <c r="K74" s="13"/>
      <c r="L74" s="18"/>
      <c r="M74" s="19" t="str">
        <f aca="false">IF(COUNT(H74,J74,L74)=0,"",MIN(H74,J74,L74))</f>
        <v/>
      </c>
      <c r="N74" s="14" t="str">
        <f aca="false">IF(M74="","",IF(H74=M74,G74,IF(J74=M74,I74,K74)))</f>
        <v/>
      </c>
      <c r="O74" s="19" t="str">
        <f aca="false">IF(M74="","",M74*F74)</f>
        <v/>
      </c>
      <c r="P74" s="18"/>
      <c r="Q74" s="18"/>
      <c r="R74" s="19" t="str">
        <f aca="false">IF(OR(P74="",Q74=""),"",P74-Q74)</f>
        <v/>
      </c>
      <c r="S74" s="19" t="str">
        <f aca="false">IF(R74="","",R74*F74)</f>
        <v/>
      </c>
      <c r="T74" s="20" t="str">
        <f aca="false">IF(OR(R74="",P74=0),"",R74/P74)</f>
        <v/>
      </c>
      <c r="U74" s="13"/>
    </row>
    <row r="75" customFormat="false" ht="15" hidden="false" customHeight="false" outlineLevel="0" collapsed="false">
      <c r="A75" s="13"/>
      <c r="B75" s="16"/>
      <c r="C75" s="13"/>
      <c r="D75" s="13"/>
      <c r="E75" s="13"/>
      <c r="F75" s="17"/>
      <c r="G75" s="13"/>
      <c r="H75" s="18"/>
      <c r="I75" s="13"/>
      <c r="J75" s="18"/>
      <c r="K75" s="13"/>
      <c r="L75" s="18"/>
      <c r="M75" s="19" t="str">
        <f aca="false">IF(COUNT(H75,J75,L75)=0,"",MIN(H75,J75,L75))</f>
        <v/>
      </c>
      <c r="N75" s="14" t="str">
        <f aca="false">IF(M75="","",IF(H75=M75,G75,IF(J75=M75,I75,K75)))</f>
        <v/>
      </c>
      <c r="O75" s="19" t="str">
        <f aca="false">IF(M75="","",M75*F75)</f>
        <v/>
      </c>
      <c r="P75" s="18"/>
      <c r="Q75" s="18"/>
      <c r="R75" s="19" t="str">
        <f aca="false">IF(OR(P75="",Q75=""),"",P75-Q75)</f>
        <v/>
      </c>
      <c r="S75" s="19" t="str">
        <f aca="false">IF(R75="","",R75*F75)</f>
        <v/>
      </c>
      <c r="T75" s="20" t="str">
        <f aca="false">IF(OR(R75="",P75=0),"",R75/P75)</f>
        <v/>
      </c>
      <c r="U75" s="13"/>
    </row>
    <row r="76" customFormat="false" ht="15" hidden="false" customHeight="false" outlineLevel="0" collapsed="false">
      <c r="A76" s="13"/>
      <c r="B76" s="16"/>
      <c r="C76" s="13"/>
      <c r="D76" s="13"/>
      <c r="E76" s="13"/>
      <c r="F76" s="17"/>
      <c r="G76" s="13"/>
      <c r="H76" s="18"/>
      <c r="I76" s="13"/>
      <c r="J76" s="18"/>
      <c r="K76" s="13"/>
      <c r="L76" s="18"/>
      <c r="M76" s="19" t="str">
        <f aca="false">IF(COUNT(H76,J76,L76)=0,"",MIN(H76,J76,L76))</f>
        <v/>
      </c>
      <c r="N76" s="14" t="str">
        <f aca="false">IF(M76="","",IF(H76=M76,G76,IF(J76=M76,I76,K76)))</f>
        <v/>
      </c>
      <c r="O76" s="19" t="str">
        <f aca="false">IF(M76="","",M76*F76)</f>
        <v/>
      </c>
      <c r="P76" s="18"/>
      <c r="Q76" s="18"/>
      <c r="R76" s="19" t="str">
        <f aca="false">IF(OR(P76="",Q76=""),"",P76-Q76)</f>
        <v/>
      </c>
      <c r="S76" s="19" t="str">
        <f aca="false">IF(R76="","",R76*F76)</f>
        <v/>
      </c>
      <c r="T76" s="20" t="str">
        <f aca="false">IF(OR(R76="",P76=0),"",R76/P76)</f>
        <v/>
      </c>
      <c r="U76" s="13"/>
    </row>
    <row r="77" customFormat="false" ht="15" hidden="false" customHeight="false" outlineLevel="0" collapsed="false">
      <c r="A77" s="13"/>
      <c r="B77" s="16"/>
      <c r="C77" s="13"/>
      <c r="D77" s="13"/>
      <c r="E77" s="13"/>
      <c r="F77" s="17"/>
      <c r="G77" s="13"/>
      <c r="H77" s="18"/>
      <c r="I77" s="13"/>
      <c r="J77" s="18"/>
      <c r="K77" s="13"/>
      <c r="L77" s="18"/>
      <c r="M77" s="19" t="str">
        <f aca="false">IF(COUNT(H77,J77,L77)=0,"",MIN(H77,J77,L77))</f>
        <v/>
      </c>
      <c r="N77" s="14" t="str">
        <f aca="false">IF(M77="","",IF(H77=M77,G77,IF(J77=M77,I77,K77)))</f>
        <v/>
      </c>
      <c r="O77" s="19" t="str">
        <f aca="false">IF(M77="","",M77*F77)</f>
        <v/>
      </c>
      <c r="P77" s="18"/>
      <c r="Q77" s="18"/>
      <c r="R77" s="19" t="str">
        <f aca="false">IF(OR(P77="",Q77=""),"",P77-Q77)</f>
        <v/>
      </c>
      <c r="S77" s="19" t="str">
        <f aca="false">IF(R77="","",R77*F77)</f>
        <v/>
      </c>
      <c r="T77" s="20" t="str">
        <f aca="false">IF(OR(R77="",P77=0),"",R77/P77)</f>
        <v/>
      </c>
      <c r="U77" s="13"/>
    </row>
    <row r="78" customFormat="false" ht="15" hidden="false" customHeight="false" outlineLevel="0" collapsed="false">
      <c r="A78" s="13"/>
      <c r="B78" s="16"/>
      <c r="C78" s="13"/>
      <c r="D78" s="13"/>
      <c r="E78" s="13"/>
      <c r="F78" s="17"/>
      <c r="G78" s="13"/>
      <c r="H78" s="18"/>
      <c r="I78" s="13"/>
      <c r="J78" s="18"/>
      <c r="K78" s="13"/>
      <c r="L78" s="18"/>
      <c r="M78" s="19" t="str">
        <f aca="false">IF(COUNT(H78,J78,L78)=0,"",MIN(H78,J78,L78))</f>
        <v/>
      </c>
      <c r="N78" s="14" t="str">
        <f aca="false">IF(M78="","",IF(H78=M78,G78,IF(J78=M78,I78,K78)))</f>
        <v/>
      </c>
      <c r="O78" s="19" t="str">
        <f aca="false">IF(M78="","",M78*F78)</f>
        <v/>
      </c>
      <c r="P78" s="18"/>
      <c r="Q78" s="18"/>
      <c r="R78" s="19" t="str">
        <f aca="false">IF(OR(P78="",Q78=""),"",P78-Q78)</f>
        <v/>
      </c>
      <c r="S78" s="19" t="str">
        <f aca="false">IF(R78="","",R78*F78)</f>
        <v/>
      </c>
      <c r="T78" s="20" t="str">
        <f aca="false">IF(OR(R78="",P78=0),"",R78/P78)</f>
        <v/>
      </c>
      <c r="U78" s="13"/>
    </row>
    <row r="79" customFormat="false" ht="15" hidden="false" customHeight="false" outlineLevel="0" collapsed="false">
      <c r="A79" s="13"/>
      <c r="B79" s="16"/>
      <c r="C79" s="13"/>
      <c r="D79" s="13"/>
      <c r="E79" s="13"/>
      <c r="F79" s="17"/>
      <c r="G79" s="13"/>
      <c r="H79" s="18"/>
      <c r="I79" s="13"/>
      <c r="J79" s="18"/>
      <c r="K79" s="13"/>
      <c r="L79" s="18"/>
      <c r="M79" s="19" t="str">
        <f aca="false">IF(COUNT(H79,J79,L79)=0,"",MIN(H79,J79,L79))</f>
        <v/>
      </c>
      <c r="N79" s="14" t="str">
        <f aca="false">IF(M79="","",IF(H79=M79,G79,IF(J79=M79,I79,K79)))</f>
        <v/>
      </c>
      <c r="O79" s="19" t="str">
        <f aca="false">IF(M79="","",M79*F79)</f>
        <v/>
      </c>
      <c r="P79" s="18"/>
      <c r="Q79" s="18"/>
      <c r="R79" s="19" t="str">
        <f aca="false">IF(OR(P79="",Q79=""),"",P79-Q79)</f>
        <v/>
      </c>
      <c r="S79" s="19" t="str">
        <f aca="false">IF(R79="","",R79*F79)</f>
        <v/>
      </c>
      <c r="T79" s="20" t="str">
        <f aca="false">IF(OR(R79="",P79=0),"",R79/P79)</f>
        <v/>
      </c>
      <c r="U79" s="13"/>
    </row>
    <row r="80" customFormat="false" ht="15" hidden="false" customHeight="false" outlineLevel="0" collapsed="false">
      <c r="A80" s="13"/>
      <c r="B80" s="16"/>
      <c r="C80" s="13"/>
      <c r="D80" s="13"/>
      <c r="E80" s="13"/>
      <c r="F80" s="17"/>
      <c r="G80" s="13"/>
      <c r="H80" s="18"/>
      <c r="I80" s="13"/>
      <c r="J80" s="18"/>
      <c r="K80" s="13"/>
      <c r="L80" s="18"/>
      <c r="M80" s="19" t="str">
        <f aca="false">IF(COUNT(H80,J80,L80)=0,"",MIN(H80,J80,L80))</f>
        <v/>
      </c>
      <c r="N80" s="14" t="str">
        <f aca="false">IF(M80="","",IF(H80=M80,G80,IF(J80=M80,I80,K80)))</f>
        <v/>
      </c>
      <c r="O80" s="19" t="str">
        <f aca="false">IF(M80="","",M80*F80)</f>
        <v/>
      </c>
      <c r="P80" s="18"/>
      <c r="Q80" s="18"/>
      <c r="R80" s="19" t="str">
        <f aca="false">IF(OR(P80="",Q80=""),"",P80-Q80)</f>
        <v/>
      </c>
      <c r="S80" s="19" t="str">
        <f aca="false">IF(R80="","",R80*F80)</f>
        <v/>
      </c>
      <c r="T80" s="20" t="str">
        <f aca="false">IF(OR(R80="",P80=0),"",R80/P80)</f>
        <v/>
      </c>
      <c r="U80" s="13"/>
    </row>
    <row r="81" customFormat="false" ht="15" hidden="false" customHeight="false" outlineLevel="0" collapsed="false">
      <c r="A81" s="13"/>
      <c r="B81" s="16"/>
      <c r="C81" s="13"/>
      <c r="D81" s="13"/>
      <c r="E81" s="13"/>
      <c r="F81" s="17"/>
      <c r="G81" s="13"/>
      <c r="H81" s="18"/>
      <c r="I81" s="13"/>
      <c r="J81" s="18"/>
      <c r="K81" s="13"/>
      <c r="L81" s="18"/>
      <c r="M81" s="19" t="str">
        <f aca="false">IF(COUNT(H81,J81,L81)=0,"",MIN(H81,J81,L81))</f>
        <v/>
      </c>
      <c r="N81" s="14" t="str">
        <f aca="false">IF(M81="","",IF(H81=M81,G81,IF(J81=M81,I81,K81)))</f>
        <v/>
      </c>
      <c r="O81" s="19" t="str">
        <f aca="false">IF(M81="","",M81*F81)</f>
        <v/>
      </c>
      <c r="P81" s="18"/>
      <c r="Q81" s="18"/>
      <c r="R81" s="19" t="str">
        <f aca="false">IF(OR(P81="",Q81=""),"",P81-Q81)</f>
        <v/>
      </c>
      <c r="S81" s="19" t="str">
        <f aca="false">IF(R81="","",R81*F81)</f>
        <v/>
      </c>
      <c r="T81" s="20" t="str">
        <f aca="false">IF(OR(R81="",P81=0),"",R81/P81)</f>
        <v/>
      </c>
      <c r="U81" s="13"/>
    </row>
    <row r="82" customFormat="false" ht="15" hidden="false" customHeight="false" outlineLevel="0" collapsed="false">
      <c r="A82" s="13"/>
      <c r="B82" s="16"/>
      <c r="C82" s="13"/>
      <c r="D82" s="13"/>
      <c r="E82" s="13"/>
      <c r="F82" s="17"/>
      <c r="G82" s="13"/>
      <c r="H82" s="18"/>
      <c r="I82" s="13"/>
      <c r="J82" s="18"/>
      <c r="K82" s="13"/>
      <c r="L82" s="18"/>
      <c r="M82" s="19" t="str">
        <f aca="false">IF(COUNT(H82,J82,L82)=0,"",MIN(H82,J82,L82))</f>
        <v/>
      </c>
      <c r="N82" s="14" t="str">
        <f aca="false">IF(M82="","",IF(H82=M82,G82,IF(J82=M82,I82,K82)))</f>
        <v/>
      </c>
      <c r="O82" s="19" t="str">
        <f aca="false">IF(M82="","",M82*F82)</f>
        <v/>
      </c>
      <c r="P82" s="18"/>
      <c r="Q82" s="18"/>
      <c r="R82" s="19" t="str">
        <f aca="false">IF(OR(P82="",Q82=""),"",P82-Q82)</f>
        <v/>
      </c>
      <c r="S82" s="19" t="str">
        <f aca="false">IF(R82="","",R82*F82)</f>
        <v/>
      </c>
      <c r="T82" s="20" t="str">
        <f aca="false">IF(OR(R82="",P82=0),"",R82/P82)</f>
        <v/>
      </c>
      <c r="U82" s="13"/>
    </row>
    <row r="83" customFormat="false" ht="15" hidden="false" customHeight="false" outlineLevel="0" collapsed="false">
      <c r="A83" s="13"/>
      <c r="B83" s="16"/>
      <c r="C83" s="13"/>
      <c r="D83" s="13"/>
      <c r="E83" s="13"/>
      <c r="F83" s="17"/>
      <c r="G83" s="13"/>
      <c r="H83" s="18"/>
      <c r="I83" s="13"/>
      <c r="J83" s="18"/>
      <c r="K83" s="13"/>
      <c r="L83" s="18"/>
      <c r="M83" s="19" t="str">
        <f aca="false">IF(COUNT(H83,J83,L83)=0,"",MIN(H83,J83,L83))</f>
        <v/>
      </c>
      <c r="N83" s="14" t="str">
        <f aca="false">IF(M83="","",IF(H83=M83,G83,IF(J83=M83,I83,K83)))</f>
        <v/>
      </c>
      <c r="O83" s="19" t="str">
        <f aca="false">IF(M83="","",M83*F83)</f>
        <v/>
      </c>
      <c r="P83" s="18"/>
      <c r="Q83" s="18"/>
      <c r="R83" s="19" t="str">
        <f aca="false">IF(OR(P83="",Q83=""),"",P83-Q83)</f>
        <v/>
      </c>
      <c r="S83" s="19" t="str">
        <f aca="false">IF(R83="","",R83*F83)</f>
        <v/>
      </c>
      <c r="T83" s="20" t="str">
        <f aca="false">IF(OR(R83="",P83=0),"",R83/P83)</f>
        <v/>
      </c>
      <c r="U83" s="13"/>
    </row>
    <row r="84" customFormat="false" ht="15" hidden="false" customHeight="false" outlineLevel="0" collapsed="false">
      <c r="A84" s="13"/>
      <c r="B84" s="16"/>
      <c r="C84" s="13"/>
      <c r="D84" s="13"/>
      <c r="E84" s="13"/>
      <c r="F84" s="17"/>
      <c r="G84" s="13"/>
      <c r="H84" s="18"/>
      <c r="I84" s="13"/>
      <c r="J84" s="18"/>
      <c r="K84" s="13"/>
      <c r="L84" s="18"/>
      <c r="M84" s="19" t="str">
        <f aca="false">IF(COUNT(H84,J84,L84)=0,"",MIN(H84,J84,L84))</f>
        <v/>
      </c>
      <c r="N84" s="14" t="str">
        <f aca="false">IF(M84="","",IF(H84=M84,G84,IF(J84=M84,I84,K84)))</f>
        <v/>
      </c>
      <c r="O84" s="19" t="str">
        <f aca="false">IF(M84="","",M84*F84)</f>
        <v/>
      </c>
      <c r="P84" s="18"/>
      <c r="Q84" s="18"/>
      <c r="R84" s="19" t="str">
        <f aca="false">IF(OR(P84="",Q84=""),"",P84-Q84)</f>
        <v/>
      </c>
      <c r="S84" s="19" t="str">
        <f aca="false">IF(R84="","",R84*F84)</f>
        <v/>
      </c>
      <c r="T84" s="20" t="str">
        <f aca="false">IF(OR(R84="",P84=0),"",R84/P84)</f>
        <v/>
      </c>
      <c r="U84" s="13"/>
    </row>
    <row r="85" customFormat="false" ht="15" hidden="false" customHeight="false" outlineLevel="0" collapsed="false">
      <c r="A85" s="13"/>
      <c r="B85" s="16"/>
      <c r="C85" s="13"/>
      <c r="D85" s="13"/>
      <c r="E85" s="13"/>
      <c r="F85" s="17"/>
      <c r="G85" s="13"/>
      <c r="H85" s="18"/>
      <c r="I85" s="13"/>
      <c r="J85" s="18"/>
      <c r="K85" s="13"/>
      <c r="L85" s="18"/>
      <c r="M85" s="19" t="str">
        <f aca="false">IF(COUNT(H85,J85,L85)=0,"",MIN(H85,J85,L85))</f>
        <v/>
      </c>
      <c r="N85" s="14" t="str">
        <f aca="false">IF(M85="","",IF(H85=M85,G85,IF(J85=M85,I85,K85)))</f>
        <v/>
      </c>
      <c r="O85" s="19" t="str">
        <f aca="false">IF(M85="","",M85*F85)</f>
        <v/>
      </c>
      <c r="P85" s="18"/>
      <c r="Q85" s="18"/>
      <c r="R85" s="19" t="str">
        <f aca="false">IF(OR(P85="",Q85=""),"",P85-Q85)</f>
        <v/>
      </c>
      <c r="S85" s="19" t="str">
        <f aca="false">IF(R85="","",R85*F85)</f>
        <v/>
      </c>
      <c r="T85" s="20" t="str">
        <f aca="false">IF(OR(R85="",P85=0),"",R85/P85)</f>
        <v/>
      </c>
      <c r="U85" s="13"/>
    </row>
    <row r="86" customFormat="false" ht="15" hidden="false" customHeight="false" outlineLevel="0" collapsed="false">
      <c r="A86" s="13"/>
      <c r="B86" s="16"/>
      <c r="C86" s="13"/>
      <c r="D86" s="13"/>
      <c r="E86" s="13"/>
      <c r="F86" s="17"/>
      <c r="G86" s="13"/>
      <c r="H86" s="18"/>
      <c r="I86" s="13"/>
      <c r="J86" s="18"/>
      <c r="K86" s="13"/>
      <c r="L86" s="18"/>
      <c r="M86" s="19" t="str">
        <f aca="false">IF(COUNT(H86,J86,L86)=0,"",MIN(H86,J86,L86))</f>
        <v/>
      </c>
      <c r="N86" s="14" t="str">
        <f aca="false">IF(M86="","",IF(H86=M86,G86,IF(J86=M86,I86,K86)))</f>
        <v/>
      </c>
      <c r="O86" s="19" t="str">
        <f aca="false">IF(M86="","",M86*F86)</f>
        <v/>
      </c>
      <c r="P86" s="18"/>
      <c r="Q86" s="18"/>
      <c r="R86" s="19" t="str">
        <f aca="false">IF(OR(P86="",Q86=""),"",P86-Q86)</f>
        <v/>
      </c>
      <c r="S86" s="19" t="str">
        <f aca="false">IF(R86="","",R86*F86)</f>
        <v/>
      </c>
      <c r="T86" s="20" t="str">
        <f aca="false">IF(OR(R86="",P86=0),"",R86/P86)</f>
        <v/>
      </c>
      <c r="U86" s="13"/>
    </row>
    <row r="87" customFormat="false" ht="15" hidden="false" customHeight="false" outlineLevel="0" collapsed="false">
      <c r="A87" s="13"/>
      <c r="B87" s="16"/>
      <c r="C87" s="13"/>
      <c r="D87" s="13"/>
      <c r="E87" s="13"/>
      <c r="F87" s="17"/>
      <c r="G87" s="13"/>
      <c r="H87" s="18"/>
      <c r="I87" s="13"/>
      <c r="J87" s="18"/>
      <c r="K87" s="13"/>
      <c r="L87" s="18"/>
      <c r="M87" s="19" t="str">
        <f aca="false">IF(COUNT(H87,J87,L87)=0,"",MIN(H87,J87,L87))</f>
        <v/>
      </c>
      <c r="N87" s="14" t="str">
        <f aca="false">IF(M87="","",IF(H87=M87,G87,IF(J87=M87,I87,K87)))</f>
        <v/>
      </c>
      <c r="O87" s="19" t="str">
        <f aca="false">IF(M87="","",M87*F87)</f>
        <v/>
      </c>
      <c r="P87" s="18"/>
      <c r="Q87" s="18"/>
      <c r="R87" s="19" t="str">
        <f aca="false">IF(OR(P87="",Q87=""),"",P87-Q87)</f>
        <v/>
      </c>
      <c r="S87" s="19" t="str">
        <f aca="false">IF(R87="","",R87*F87)</f>
        <v/>
      </c>
      <c r="T87" s="20" t="str">
        <f aca="false">IF(OR(R87="",P87=0),"",R87/P87)</f>
        <v/>
      </c>
      <c r="U87" s="13"/>
    </row>
    <row r="88" customFormat="false" ht="15" hidden="false" customHeight="false" outlineLevel="0" collapsed="false">
      <c r="A88" s="13"/>
      <c r="B88" s="16"/>
      <c r="C88" s="13"/>
      <c r="D88" s="13"/>
      <c r="E88" s="13"/>
      <c r="F88" s="17"/>
      <c r="G88" s="13"/>
      <c r="H88" s="18"/>
      <c r="I88" s="13"/>
      <c r="J88" s="18"/>
      <c r="K88" s="13"/>
      <c r="L88" s="18"/>
      <c r="M88" s="19" t="str">
        <f aca="false">IF(COUNT(H88,J88,L88)=0,"",MIN(H88,J88,L88))</f>
        <v/>
      </c>
      <c r="N88" s="14" t="str">
        <f aca="false">IF(M88="","",IF(H88=M88,G88,IF(J88=M88,I88,K88)))</f>
        <v/>
      </c>
      <c r="O88" s="19" t="str">
        <f aca="false">IF(M88="","",M88*F88)</f>
        <v/>
      </c>
      <c r="P88" s="18"/>
      <c r="Q88" s="18"/>
      <c r="R88" s="19" t="str">
        <f aca="false">IF(OR(P88="",Q88=""),"",P88-Q88)</f>
        <v/>
      </c>
      <c r="S88" s="19" t="str">
        <f aca="false">IF(R88="","",R88*F88)</f>
        <v/>
      </c>
      <c r="T88" s="20" t="str">
        <f aca="false">IF(OR(R88="",P88=0),"",R88/P88)</f>
        <v/>
      </c>
      <c r="U88" s="13"/>
    </row>
    <row r="89" customFormat="false" ht="15" hidden="false" customHeight="false" outlineLevel="0" collapsed="false">
      <c r="A89" s="13"/>
      <c r="B89" s="16"/>
      <c r="C89" s="13"/>
      <c r="D89" s="13"/>
      <c r="E89" s="13"/>
      <c r="F89" s="17"/>
      <c r="G89" s="13"/>
      <c r="H89" s="18"/>
      <c r="I89" s="13"/>
      <c r="J89" s="18"/>
      <c r="K89" s="13"/>
      <c r="L89" s="18"/>
      <c r="M89" s="19" t="str">
        <f aca="false">IF(COUNT(H89,J89,L89)=0,"",MIN(H89,J89,L89))</f>
        <v/>
      </c>
      <c r="N89" s="14" t="str">
        <f aca="false">IF(M89="","",IF(H89=M89,G89,IF(J89=M89,I89,K89)))</f>
        <v/>
      </c>
      <c r="O89" s="19" t="str">
        <f aca="false">IF(M89="","",M89*F89)</f>
        <v/>
      </c>
      <c r="P89" s="18"/>
      <c r="Q89" s="18"/>
      <c r="R89" s="19" t="str">
        <f aca="false">IF(OR(P89="",Q89=""),"",P89-Q89)</f>
        <v/>
      </c>
      <c r="S89" s="19" t="str">
        <f aca="false">IF(R89="","",R89*F89)</f>
        <v/>
      </c>
      <c r="T89" s="20" t="str">
        <f aca="false">IF(OR(R89="",P89=0),"",R89/P89)</f>
        <v/>
      </c>
      <c r="U89" s="13"/>
    </row>
    <row r="90" customFormat="false" ht="15" hidden="false" customHeight="false" outlineLevel="0" collapsed="false">
      <c r="A90" s="13"/>
      <c r="B90" s="16"/>
      <c r="C90" s="13"/>
      <c r="D90" s="13"/>
      <c r="E90" s="13"/>
      <c r="F90" s="17"/>
      <c r="G90" s="13"/>
      <c r="H90" s="18"/>
      <c r="I90" s="13"/>
      <c r="J90" s="18"/>
      <c r="K90" s="13"/>
      <c r="L90" s="18"/>
      <c r="M90" s="19" t="str">
        <f aca="false">IF(COUNT(H90,J90,L90)=0,"",MIN(H90,J90,L90))</f>
        <v/>
      </c>
      <c r="N90" s="14" t="str">
        <f aca="false">IF(M90="","",IF(H90=M90,G90,IF(J90=M90,I90,K90)))</f>
        <v/>
      </c>
      <c r="O90" s="19" t="str">
        <f aca="false">IF(M90="","",M90*F90)</f>
        <v/>
      </c>
      <c r="P90" s="18"/>
      <c r="Q90" s="18"/>
      <c r="R90" s="19" t="str">
        <f aca="false">IF(OR(P90="",Q90=""),"",P90-Q90)</f>
        <v/>
      </c>
      <c r="S90" s="19" t="str">
        <f aca="false">IF(R90="","",R90*F90)</f>
        <v/>
      </c>
      <c r="T90" s="20" t="str">
        <f aca="false">IF(OR(R90="",P90=0),"",R90/P90)</f>
        <v/>
      </c>
      <c r="U90" s="13"/>
    </row>
    <row r="91" customFormat="false" ht="15" hidden="false" customHeight="false" outlineLevel="0" collapsed="false">
      <c r="A91" s="13"/>
      <c r="B91" s="16"/>
      <c r="C91" s="13"/>
      <c r="D91" s="13"/>
      <c r="E91" s="13"/>
      <c r="F91" s="17"/>
      <c r="G91" s="13"/>
      <c r="H91" s="18"/>
      <c r="I91" s="13"/>
      <c r="J91" s="18"/>
      <c r="K91" s="13"/>
      <c r="L91" s="18"/>
      <c r="M91" s="19" t="str">
        <f aca="false">IF(COUNT(H91,J91,L91)=0,"",MIN(H91,J91,L91))</f>
        <v/>
      </c>
      <c r="N91" s="14" t="str">
        <f aca="false">IF(M91="","",IF(H91=M91,G91,IF(J91=M91,I91,K91)))</f>
        <v/>
      </c>
      <c r="O91" s="19" t="str">
        <f aca="false">IF(M91="","",M91*F91)</f>
        <v/>
      </c>
      <c r="P91" s="18"/>
      <c r="Q91" s="18"/>
      <c r="R91" s="19" t="str">
        <f aca="false">IF(OR(P91="",Q91=""),"",P91-Q91)</f>
        <v/>
      </c>
      <c r="S91" s="19" t="str">
        <f aca="false">IF(R91="","",R91*F91)</f>
        <v/>
      </c>
      <c r="T91" s="20" t="str">
        <f aca="false">IF(OR(R91="",P91=0),"",R91/P91)</f>
        <v/>
      </c>
      <c r="U91" s="13"/>
    </row>
    <row r="92" customFormat="false" ht="15" hidden="false" customHeight="false" outlineLevel="0" collapsed="false">
      <c r="A92" s="13"/>
      <c r="B92" s="16"/>
      <c r="C92" s="13"/>
      <c r="D92" s="13"/>
      <c r="E92" s="13"/>
      <c r="F92" s="17"/>
      <c r="G92" s="13"/>
      <c r="H92" s="18"/>
      <c r="I92" s="13"/>
      <c r="J92" s="18"/>
      <c r="K92" s="13"/>
      <c r="L92" s="18"/>
      <c r="M92" s="19" t="str">
        <f aca="false">IF(COUNT(H92,J92,L92)=0,"",MIN(H92,J92,L92))</f>
        <v/>
      </c>
      <c r="N92" s="14" t="str">
        <f aca="false">IF(M92="","",IF(H92=M92,G92,IF(J92=M92,I92,K92)))</f>
        <v/>
      </c>
      <c r="O92" s="19" t="str">
        <f aca="false">IF(M92="","",M92*F92)</f>
        <v/>
      </c>
      <c r="P92" s="18"/>
      <c r="Q92" s="18"/>
      <c r="R92" s="19" t="str">
        <f aca="false">IF(OR(P92="",Q92=""),"",P92-Q92)</f>
        <v/>
      </c>
      <c r="S92" s="19" t="str">
        <f aca="false">IF(R92="","",R92*F92)</f>
        <v/>
      </c>
      <c r="T92" s="20" t="str">
        <f aca="false">IF(OR(R92="",P92=0),"",R92/P92)</f>
        <v/>
      </c>
      <c r="U92" s="13"/>
    </row>
    <row r="93" customFormat="false" ht="15" hidden="false" customHeight="false" outlineLevel="0" collapsed="false">
      <c r="A93" s="13"/>
      <c r="B93" s="16"/>
      <c r="C93" s="13"/>
      <c r="D93" s="13"/>
      <c r="E93" s="13"/>
      <c r="F93" s="17"/>
      <c r="G93" s="13"/>
      <c r="H93" s="18"/>
      <c r="I93" s="13"/>
      <c r="J93" s="18"/>
      <c r="K93" s="13"/>
      <c r="L93" s="18"/>
      <c r="M93" s="19" t="str">
        <f aca="false">IF(COUNT(H93,J93,L93)=0,"",MIN(H93,J93,L93))</f>
        <v/>
      </c>
      <c r="N93" s="14" t="str">
        <f aca="false">IF(M93="","",IF(H93=M93,G93,IF(J93=M93,I93,K93)))</f>
        <v/>
      </c>
      <c r="O93" s="19" t="str">
        <f aca="false">IF(M93="","",M93*F93)</f>
        <v/>
      </c>
      <c r="P93" s="18"/>
      <c r="Q93" s="18"/>
      <c r="R93" s="19" t="str">
        <f aca="false">IF(OR(P93="",Q93=""),"",P93-Q93)</f>
        <v/>
      </c>
      <c r="S93" s="19" t="str">
        <f aca="false">IF(R93="","",R93*F93)</f>
        <v/>
      </c>
      <c r="T93" s="20" t="str">
        <f aca="false">IF(OR(R93="",P93=0),"",R93/P93)</f>
        <v/>
      </c>
      <c r="U93" s="13"/>
    </row>
    <row r="94" customFormat="false" ht="15" hidden="false" customHeight="false" outlineLevel="0" collapsed="false">
      <c r="A94" s="13"/>
      <c r="B94" s="16"/>
      <c r="C94" s="13"/>
      <c r="D94" s="13"/>
      <c r="E94" s="13"/>
      <c r="F94" s="17"/>
      <c r="G94" s="13"/>
      <c r="H94" s="18"/>
      <c r="I94" s="13"/>
      <c r="J94" s="18"/>
      <c r="K94" s="13"/>
      <c r="L94" s="18"/>
      <c r="M94" s="19" t="str">
        <f aca="false">IF(COUNT(H94,J94,L94)=0,"",MIN(H94,J94,L94))</f>
        <v/>
      </c>
      <c r="N94" s="14" t="str">
        <f aca="false">IF(M94="","",IF(H94=M94,G94,IF(J94=M94,I94,K94)))</f>
        <v/>
      </c>
      <c r="O94" s="19" t="str">
        <f aca="false">IF(M94="","",M94*F94)</f>
        <v/>
      </c>
      <c r="P94" s="18"/>
      <c r="Q94" s="18"/>
      <c r="R94" s="19" t="str">
        <f aca="false">IF(OR(P94="",Q94=""),"",P94-Q94)</f>
        <v/>
      </c>
      <c r="S94" s="19" t="str">
        <f aca="false">IF(R94="","",R94*F94)</f>
        <v/>
      </c>
      <c r="T94" s="20" t="str">
        <f aca="false">IF(OR(R94="",P94=0),"",R94/P94)</f>
        <v/>
      </c>
      <c r="U94" s="13"/>
    </row>
    <row r="95" customFormat="false" ht="15" hidden="false" customHeight="false" outlineLevel="0" collapsed="false">
      <c r="A95" s="13"/>
      <c r="B95" s="16"/>
      <c r="C95" s="13"/>
      <c r="D95" s="13"/>
      <c r="E95" s="13"/>
      <c r="F95" s="17"/>
      <c r="G95" s="13"/>
      <c r="H95" s="18"/>
      <c r="I95" s="13"/>
      <c r="J95" s="18"/>
      <c r="K95" s="13"/>
      <c r="L95" s="18"/>
      <c r="M95" s="19" t="str">
        <f aca="false">IF(COUNT(H95,J95,L95)=0,"",MIN(H95,J95,L95))</f>
        <v/>
      </c>
      <c r="N95" s="14" t="str">
        <f aca="false">IF(M95="","",IF(H95=M95,G95,IF(J95=M95,I95,K95)))</f>
        <v/>
      </c>
      <c r="O95" s="19" t="str">
        <f aca="false">IF(M95="","",M95*F95)</f>
        <v/>
      </c>
      <c r="P95" s="18"/>
      <c r="Q95" s="18"/>
      <c r="R95" s="19" t="str">
        <f aca="false">IF(OR(P95="",Q95=""),"",P95-Q95)</f>
        <v/>
      </c>
      <c r="S95" s="19" t="str">
        <f aca="false">IF(R95="","",R95*F95)</f>
        <v/>
      </c>
      <c r="T95" s="20" t="str">
        <f aca="false">IF(OR(R95="",P95=0),"",R95/P95)</f>
        <v/>
      </c>
      <c r="U95" s="13"/>
    </row>
    <row r="96" customFormat="false" ht="15" hidden="false" customHeight="false" outlineLevel="0" collapsed="false">
      <c r="A96" s="13"/>
      <c r="B96" s="16"/>
      <c r="C96" s="13"/>
      <c r="D96" s="13"/>
      <c r="E96" s="13"/>
      <c r="F96" s="17"/>
      <c r="G96" s="13"/>
      <c r="H96" s="18"/>
      <c r="I96" s="13"/>
      <c r="J96" s="18"/>
      <c r="K96" s="13"/>
      <c r="L96" s="18"/>
      <c r="M96" s="19" t="str">
        <f aca="false">IF(COUNT(H96,J96,L96)=0,"",MIN(H96,J96,L96))</f>
        <v/>
      </c>
      <c r="N96" s="14" t="str">
        <f aca="false">IF(M96="","",IF(H96=M96,G96,IF(J96=M96,I96,K96)))</f>
        <v/>
      </c>
      <c r="O96" s="19" t="str">
        <f aca="false">IF(M96="","",M96*F96)</f>
        <v/>
      </c>
      <c r="P96" s="18"/>
      <c r="Q96" s="18"/>
      <c r="R96" s="19" t="str">
        <f aca="false">IF(OR(P96="",Q96=""),"",P96-Q96)</f>
        <v/>
      </c>
      <c r="S96" s="19" t="str">
        <f aca="false">IF(R96="","",R96*F96)</f>
        <v/>
      </c>
      <c r="T96" s="20" t="str">
        <f aca="false">IF(OR(R96="",P96=0),"",R96/P96)</f>
        <v/>
      </c>
      <c r="U96" s="13"/>
    </row>
    <row r="97" customFormat="false" ht="15" hidden="false" customHeight="false" outlineLevel="0" collapsed="false">
      <c r="A97" s="13"/>
      <c r="B97" s="16"/>
      <c r="C97" s="13"/>
      <c r="D97" s="13"/>
      <c r="E97" s="13"/>
      <c r="F97" s="17"/>
      <c r="G97" s="13"/>
      <c r="H97" s="18"/>
      <c r="I97" s="13"/>
      <c r="J97" s="18"/>
      <c r="K97" s="13"/>
      <c r="L97" s="18"/>
      <c r="M97" s="19" t="str">
        <f aca="false">IF(COUNT(H97,J97,L97)=0,"",MIN(H97,J97,L97))</f>
        <v/>
      </c>
      <c r="N97" s="14" t="str">
        <f aca="false">IF(M97="","",IF(H97=M97,G97,IF(J97=M97,I97,K97)))</f>
        <v/>
      </c>
      <c r="O97" s="19" t="str">
        <f aca="false">IF(M97="","",M97*F97)</f>
        <v/>
      </c>
      <c r="P97" s="18"/>
      <c r="Q97" s="18"/>
      <c r="R97" s="19" t="str">
        <f aca="false">IF(OR(P97="",Q97=""),"",P97-Q97)</f>
        <v/>
      </c>
      <c r="S97" s="19" t="str">
        <f aca="false">IF(R97="","",R97*F97)</f>
        <v/>
      </c>
      <c r="T97" s="20" t="str">
        <f aca="false">IF(OR(R97="",P97=0),"",R97/P97)</f>
        <v/>
      </c>
      <c r="U97" s="13"/>
    </row>
    <row r="98" customFormat="false" ht="15" hidden="false" customHeight="false" outlineLevel="0" collapsed="false">
      <c r="A98" s="13"/>
      <c r="B98" s="16"/>
      <c r="C98" s="13"/>
      <c r="D98" s="13"/>
      <c r="E98" s="13"/>
      <c r="F98" s="17"/>
      <c r="G98" s="13"/>
      <c r="H98" s="18"/>
      <c r="I98" s="13"/>
      <c r="J98" s="18"/>
      <c r="K98" s="13"/>
      <c r="L98" s="18"/>
      <c r="M98" s="19" t="str">
        <f aca="false">IF(COUNT(H98,J98,L98)=0,"",MIN(H98,J98,L98))</f>
        <v/>
      </c>
      <c r="N98" s="14" t="str">
        <f aca="false">IF(M98="","",IF(H98=M98,G98,IF(J98=M98,I98,K98)))</f>
        <v/>
      </c>
      <c r="O98" s="19" t="str">
        <f aca="false">IF(M98="","",M98*F98)</f>
        <v/>
      </c>
      <c r="P98" s="18"/>
      <c r="Q98" s="18"/>
      <c r="R98" s="19" t="str">
        <f aca="false">IF(OR(P98="",Q98=""),"",P98-Q98)</f>
        <v/>
      </c>
      <c r="S98" s="19" t="str">
        <f aca="false">IF(R98="","",R98*F98)</f>
        <v/>
      </c>
      <c r="T98" s="20" t="str">
        <f aca="false">IF(OR(R98="",P98=0),"",R98/P98)</f>
        <v/>
      </c>
      <c r="U98" s="13"/>
    </row>
    <row r="99" customFormat="false" ht="15" hidden="false" customHeight="false" outlineLevel="0" collapsed="false">
      <c r="A99" s="13"/>
      <c r="B99" s="16"/>
      <c r="C99" s="13"/>
      <c r="D99" s="13"/>
      <c r="E99" s="13"/>
      <c r="F99" s="17"/>
      <c r="G99" s="13"/>
      <c r="H99" s="18"/>
      <c r="I99" s="13"/>
      <c r="J99" s="18"/>
      <c r="K99" s="13"/>
      <c r="L99" s="18"/>
      <c r="M99" s="19" t="str">
        <f aca="false">IF(COUNT(H99,J99,L99)=0,"",MIN(H99,J99,L99))</f>
        <v/>
      </c>
      <c r="N99" s="14" t="str">
        <f aca="false">IF(M99="","",IF(H99=M99,G99,IF(J99=M99,I99,K99)))</f>
        <v/>
      </c>
      <c r="O99" s="19" t="str">
        <f aca="false">IF(M99="","",M99*F99)</f>
        <v/>
      </c>
      <c r="P99" s="18"/>
      <c r="Q99" s="18"/>
      <c r="R99" s="19" t="str">
        <f aca="false">IF(OR(P99="",Q99=""),"",P99-Q99)</f>
        <v/>
      </c>
      <c r="S99" s="19" t="str">
        <f aca="false">IF(R99="","",R99*F99)</f>
        <v/>
      </c>
      <c r="T99" s="20" t="str">
        <f aca="false">IF(OR(R99="",P99=0),"",R99/P99)</f>
        <v/>
      </c>
      <c r="U99" s="13"/>
    </row>
    <row r="100" customFormat="false" ht="15" hidden="false" customHeight="false" outlineLevel="0" collapsed="false">
      <c r="A100" s="13"/>
      <c r="B100" s="16"/>
      <c r="C100" s="13"/>
      <c r="D100" s="13"/>
      <c r="E100" s="13"/>
      <c r="F100" s="17"/>
      <c r="G100" s="13"/>
      <c r="H100" s="18"/>
      <c r="I100" s="13"/>
      <c r="J100" s="18"/>
      <c r="K100" s="13"/>
      <c r="L100" s="18"/>
      <c r="M100" s="19" t="str">
        <f aca="false">IF(COUNT(H100,J100,L100)=0,"",MIN(H100,J100,L100))</f>
        <v/>
      </c>
      <c r="N100" s="14" t="str">
        <f aca="false">IF(M100="","",IF(H100=M100,G100,IF(J100=M100,I100,K100)))</f>
        <v/>
      </c>
      <c r="O100" s="19" t="str">
        <f aca="false">IF(M100="","",M100*F100)</f>
        <v/>
      </c>
      <c r="P100" s="18"/>
      <c r="Q100" s="18"/>
      <c r="R100" s="19" t="str">
        <f aca="false">IF(OR(P100="",Q100=""),"",P100-Q100)</f>
        <v/>
      </c>
      <c r="S100" s="19" t="str">
        <f aca="false">IF(R100="","",R100*F100)</f>
        <v/>
      </c>
      <c r="T100" s="20" t="str">
        <f aca="false">IF(OR(R100="",P100=0),"",R100/P100)</f>
        <v/>
      </c>
      <c r="U100" s="13"/>
    </row>
    <row r="101" customFormat="false" ht="15" hidden="false" customHeight="false" outlineLevel="0" collapsed="false">
      <c r="A101" s="13"/>
      <c r="B101" s="16"/>
      <c r="C101" s="13"/>
      <c r="D101" s="13"/>
      <c r="E101" s="13"/>
      <c r="F101" s="17"/>
      <c r="G101" s="13"/>
      <c r="H101" s="18"/>
      <c r="I101" s="13"/>
      <c r="J101" s="18"/>
      <c r="K101" s="13"/>
      <c r="L101" s="18"/>
      <c r="M101" s="19" t="str">
        <f aca="false">IF(COUNT(H101,J101,L101)=0,"",MIN(H101,J101,L101))</f>
        <v/>
      </c>
      <c r="N101" s="14" t="str">
        <f aca="false">IF(M101="","",IF(H101=M101,G101,IF(J101=M101,I101,K101)))</f>
        <v/>
      </c>
      <c r="O101" s="19" t="str">
        <f aca="false">IF(M101="","",M101*F101)</f>
        <v/>
      </c>
      <c r="P101" s="18"/>
      <c r="Q101" s="18"/>
      <c r="R101" s="19" t="str">
        <f aca="false">IF(OR(P101="",Q101=""),"",P101-Q101)</f>
        <v/>
      </c>
      <c r="S101" s="19" t="str">
        <f aca="false">IF(R101="","",R101*F101)</f>
        <v/>
      </c>
      <c r="T101" s="20" t="str">
        <f aca="false">IF(OR(R101="",P101=0),"",R101/P101)</f>
        <v/>
      </c>
      <c r="U101" s="13"/>
    </row>
    <row r="102" customFormat="false" ht="15" hidden="false" customHeight="false" outlineLevel="0" collapsed="false">
      <c r="A102" s="13"/>
      <c r="B102" s="16"/>
      <c r="C102" s="13"/>
      <c r="D102" s="13"/>
      <c r="E102" s="13"/>
      <c r="F102" s="17"/>
      <c r="G102" s="13"/>
      <c r="H102" s="18"/>
      <c r="I102" s="13"/>
      <c r="J102" s="18"/>
      <c r="K102" s="13"/>
      <c r="L102" s="18"/>
      <c r="M102" s="19" t="str">
        <f aca="false">IF(COUNT(H102,J102,L102)=0,"",MIN(H102,J102,L102))</f>
        <v/>
      </c>
      <c r="N102" s="14" t="str">
        <f aca="false">IF(M102="","",IF(H102=M102,G102,IF(J102=M102,I102,K102)))</f>
        <v/>
      </c>
      <c r="O102" s="19" t="str">
        <f aca="false">IF(M102="","",M102*F102)</f>
        <v/>
      </c>
      <c r="P102" s="18"/>
      <c r="Q102" s="18"/>
      <c r="R102" s="19" t="str">
        <f aca="false">IF(OR(P102="",Q102=""),"",P102-Q102)</f>
        <v/>
      </c>
      <c r="S102" s="19" t="str">
        <f aca="false">IF(R102="","",R102*F102)</f>
        <v/>
      </c>
      <c r="T102" s="20" t="str">
        <f aca="false">IF(OR(R102="",P102=0),"",R102/P102)</f>
        <v/>
      </c>
      <c r="U102" s="13"/>
    </row>
    <row r="103" customFormat="false" ht="15" hidden="false" customHeight="false" outlineLevel="0" collapsed="false">
      <c r="A103" s="13"/>
      <c r="B103" s="16"/>
      <c r="C103" s="13"/>
      <c r="D103" s="13"/>
      <c r="E103" s="13"/>
      <c r="F103" s="17"/>
      <c r="G103" s="13"/>
      <c r="H103" s="18"/>
      <c r="I103" s="13"/>
      <c r="J103" s="18"/>
      <c r="K103" s="13"/>
      <c r="L103" s="18"/>
      <c r="M103" s="19" t="str">
        <f aca="false">IF(COUNT(H103,J103,L103)=0,"",MIN(H103,J103,L103))</f>
        <v/>
      </c>
      <c r="N103" s="14" t="str">
        <f aca="false">IF(M103="","",IF(H103=M103,G103,IF(J103=M103,I103,K103)))</f>
        <v/>
      </c>
      <c r="O103" s="19" t="str">
        <f aca="false">IF(M103="","",M103*F103)</f>
        <v/>
      </c>
      <c r="P103" s="18"/>
      <c r="Q103" s="18"/>
      <c r="R103" s="19" t="str">
        <f aca="false">IF(OR(P103="",Q103=""),"",P103-Q103)</f>
        <v/>
      </c>
      <c r="S103" s="19" t="str">
        <f aca="false">IF(R103="","",R103*F103)</f>
        <v/>
      </c>
      <c r="T103" s="20" t="str">
        <f aca="false">IF(OR(R103="",P103=0),"",R103/P103)</f>
        <v/>
      </c>
      <c r="U103" s="13"/>
    </row>
    <row r="104" customFormat="false" ht="15" hidden="false" customHeight="false" outlineLevel="0" collapsed="false">
      <c r="A104" s="13"/>
      <c r="B104" s="16"/>
      <c r="C104" s="13"/>
      <c r="D104" s="13"/>
      <c r="E104" s="13"/>
      <c r="F104" s="17"/>
      <c r="G104" s="13"/>
      <c r="H104" s="18"/>
      <c r="I104" s="13"/>
      <c r="J104" s="18"/>
      <c r="K104" s="13"/>
      <c r="L104" s="18"/>
      <c r="M104" s="19" t="str">
        <f aca="false">IF(COUNT(H104,J104,L104)=0,"",MIN(H104,J104,L104))</f>
        <v/>
      </c>
      <c r="N104" s="14" t="str">
        <f aca="false">IF(M104="","",IF(H104=M104,G104,IF(J104=M104,I104,K104)))</f>
        <v/>
      </c>
      <c r="O104" s="19" t="str">
        <f aca="false">IF(M104="","",M104*F104)</f>
        <v/>
      </c>
      <c r="P104" s="18"/>
      <c r="Q104" s="18"/>
      <c r="R104" s="19" t="str">
        <f aca="false">IF(OR(P104="",Q104=""),"",P104-Q104)</f>
        <v/>
      </c>
      <c r="S104" s="19" t="str">
        <f aca="false">IF(R104="","",R104*F104)</f>
        <v/>
      </c>
      <c r="T104" s="20" t="str">
        <f aca="false">IF(OR(R104="",P104=0),"",R104/P104)</f>
        <v/>
      </c>
      <c r="U104" s="13"/>
    </row>
    <row r="105" customFormat="false" ht="15" hidden="false" customHeight="false" outlineLevel="0" collapsed="false">
      <c r="A105" s="13"/>
      <c r="B105" s="16"/>
      <c r="C105" s="13"/>
      <c r="D105" s="13"/>
      <c r="E105" s="13"/>
      <c r="F105" s="17"/>
      <c r="G105" s="13"/>
      <c r="H105" s="18"/>
      <c r="I105" s="13"/>
      <c r="J105" s="18"/>
      <c r="K105" s="13"/>
      <c r="L105" s="18"/>
      <c r="M105" s="19" t="str">
        <f aca="false">IF(COUNT(H105,J105,L105)=0,"",MIN(H105,J105,L105))</f>
        <v/>
      </c>
      <c r="N105" s="14" t="str">
        <f aca="false">IF(M105="","",IF(H105=M105,G105,IF(J105=M105,I105,K105)))</f>
        <v/>
      </c>
      <c r="O105" s="19" t="str">
        <f aca="false">IF(M105="","",M105*F105)</f>
        <v/>
      </c>
      <c r="P105" s="18"/>
      <c r="Q105" s="18"/>
      <c r="R105" s="19" t="str">
        <f aca="false">IF(OR(P105="",Q105=""),"",P105-Q105)</f>
        <v/>
      </c>
      <c r="S105" s="19" t="str">
        <f aca="false">IF(R105="","",R105*F105)</f>
        <v/>
      </c>
      <c r="T105" s="20" t="str">
        <f aca="false">IF(OR(R105="",P105=0),"",R105/P105)</f>
        <v/>
      </c>
      <c r="U105" s="13"/>
    </row>
    <row r="106" customFormat="false" ht="15" hidden="false" customHeight="false" outlineLevel="0" collapsed="false">
      <c r="A106" s="13"/>
      <c r="B106" s="16"/>
      <c r="C106" s="13"/>
      <c r="D106" s="13"/>
      <c r="E106" s="13"/>
      <c r="F106" s="17"/>
      <c r="G106" s="13"/>
      <c r="H106" s="18"/>
      <c r="I106" s="13"/>
      <c r="J106" s="18"/>
      <c r="K106" s="13"/>
      <c r="L106" s="18"/>
      <c r="M106" s="19" t="str">
        <f aca="false">IF(COUNT(H106,J106,L106)=0,"",MIN(H106,J106,L106))</f>
        <v/>
      </c>
      <c r="N106" s="14" t="str">
        <f aca="false">IF(M106="","",IF(H106=M106,G106,IF(J106=M106,I106,K106)))</f>
        <v/>
      </c>
      <c r="O106" s="19" t="str">
        <f aca="false">IF(M106="","",M106*F106)</f>
        <v/>
      </c>
      <c r="P106" s="18"/>
      <c r="Q106" s="18"/>
      <c r="R106" s="19" t="str">
        <f aca="false">IF(OR(P106="",Q106=""),"",P106-Q106)</f>
        <v/>
      </c>
      <c r="S106" s="19" t="str">
        <f aca="false">IF(R106="","",R106*F106)</f>
        <v/>
      </c>
      <c r="T106" s="20" t="str">
        <f aca="false">IF(OR(R106="",P106=0),"",R106/P106)</f>
        <v/>
      </c>
      <c r="U106" s="13"/>
    </row>
    <row r="107" customFormat="false" ht="15" hidden="false" customHeight="false" outlineLevel="0" collapsed="false">
      <c r="A107" s="13"/>
      <c r="B107" s="16"/>
      <c r="C107" s="13"/>
      <c r="D107" s="13"/>
      <c r="E107" s="13"/>
      <c r="F107" s="17"/>
      <c r="G107" s="13"/>
      <c r="H107" s="18"/>
      <c r="I107" s="13"/>
      <c r="J107" s="18"/>
      <c r="K107" s="13"/>
      <c r="L107" s="18"/>
      <c r="M107" s="19" t="str">
        <f aca="false">IF(COUNT(H107,J107,L107)=0,"",MIN(H107,J107,L107))</f>
        <v/>
      </c>
      <c r="N107" s="14" t="str">
        <f aca="false">IF(M107="","",IF(H107=M107,G107,IF(J107=M107,I107,K107)))</f>
        <v/>
      </c>
      <c r="O107" s="19" t="str">
        <f aca="false">IF(M107="","",M107*F107)</f>
        <v/>
      </c>
      <c r="P107" s="18"/>
      <c r="Q107" s="18"/>
      <c r="R107" s="19" t="str">
        <f aca="false">IF(OR(P107="",Q107=""),"",P107-Q107)</f>
        <v/>
      </c>
      <c r="S107" s="19" t="str">
        <f aca="false">IF(R107="","",R107*F107)</f>
        <v/>
      </c>
      <c r="T107" s="20" t="str">
        <f aca="false">IF(OR(R107="",P107=0),"",R107/P107)</f>
        <v/>
      </c>
      <c r="U107" s="13"/>
    </row>
    <row r="108" customFormat="false" ht="15" hidden="false" customHeight="false" outlineLevel="0" collapsed="false">
      <c r="A108" s="13"/>
      <c r="B108" s="16"/>
      <c r="C108" s="13"/>
      <c r="D108" s="13"/>
      <c r="E108" s="13"/>
      <c r="F108" s="17"/>
      <c r="G108" s="13"/>
      <c r="H108" s="18"/>
      <c r="I108" s="13"/>
      <c r="J108" s="18"/>
      <c r="K108" s="13"/>
      <c r="L108" s="18"/>
      <c r="M108" s="19" t="str">
        <f aca="false">IF(COUNT(H108,J108,L108)=0,"",MIN(H108,J108,L108))</f>
        <v/>
      </c>
      <c r="N108" s="14" t="str">
        <f aca="false">IF(M108="","",IF(H108=M108,G108,IF(J108=M108,I108,K108)))</f>
        <v/>
      </c>
      <c r="O108" s="19" t="str">
        <f aca="false">IF(M108="","",M108*F108)</f>
        <v/>
      </c>
      <c r="P108" s="18"/>
      <c r="Q108" s="18"/>
      <c r="R108" s="19" t="str">
        <f aca="false">IF(OR(P108="",Q108=""),"",P108-Q108)</f>
        <v/>
      </c>
      <c r="S108" s="19" t="str">
        <f aca="false">IF(R108="","",R108*F108)</f>
        <v/>
      </c>
      <c r="T108" s="20" t="str">
        <f aca="false">IF(OR(R108="",P108=0),"",R108/P108)</f>
        <v/>
      </c>
      <c r="U108" s="13"/>
    </row>
    <row r="109" customFormat="false" ht="15" hidden="false" customHeight="false" outlineLevel="0" collapsed="false">
      <c r="A109" s="13"/>
      <c r="B109" s="16"/>
      <c r="C109" s="13"/>
      <c r="D109" s="13"/>
      <c r="E109" s="13"/>
      <c r="F109" s="17"/>
      <c r="G109" s="13"/>
      <c r="H109" s="18"/>
      <c r="I109" s="13"/>
      <c r="J109" s="18"/>
      <c r="K109" s="13"/>
      <c r="L109" s="18"/>
      <c r="M109" s="19" t="str">
        <f aca="false">IF(COUNT(H109,J109,L109)=0,"",MIN(H109,J109,L109))</f>
        <v/>
      </c>
      <c r="N109" s="14" t="str">
        <f aca="false">IF(M109="","",IF(H109=M109,G109,IF(J109=M109,I109,K109)))</f>
        <v/>
      </c>
      <c r="O109" s="19" t="str">
        <f aca="false">IF(M109="","",M109*F109)</f>
        <v/>
      </c>
      <c r="P109" s="18"/>
      <c r="Q109" s="18"/>
      <c r="R109" s="19" t="str">
        <f aca="false">IF(OR(P109="",Q109=""),"",P109-Q109)</f>
        <v/>
      </c>
      <c r="S109" s="19" t="str">
        <f aca="false">IF(R109="","",R109*F109)</f>
        <v/>
      </c>
      <c r="T109" s="20" t="str">
        <f aca="false">IF(OR(R109="",P109=0),"",R109/P109)</f>
        <v/>
      </c>
      <c r="U109" s="13"/>
    </row>
    <row r="110" customFormat="false" ht="15" hidden="false" customHeight="false" outlineLevel="0" collapsed="false">
      <c r="A110" s="13"/>
      <c r="B110" s="16"/>
      <c r="C110" s="13"/>
      <c r="D110" s="13"/>
      <c r="E110" s="13"/>
      <c r="F110" s="17"/>
      <c r="G110" s="13"/>
      <c r="H110" s="18"/>
      <c r="I110" s="13"/>
      <c r="J110" s="18"/>
      <c r="K110" s="13"/>
      <c r="L110" s="18"/>
      <c r="M110" s="19" t="str">
        <f aca="false">IF(COUNT(H110,J110,L110)=0,"",MIN(H110,J110,L110))</f>
        <v/>
      </c>
      <c r="N110" s="14" t="str">
        <f aca="false">IF(M110="","",IF(H110=M110,G110,IF(J110=M110,I110,K110)))</f>
        <v/>
      </c>
      <c r="O110" s="19" t="str">
        <f aca="false">IF(M110="","",M110*F110)</f>
        <v/>
      </c>
      <c r="P110" s="18"/>
      <c r="Q110" s="18"/>
      <c r="R110" s="19" t="str">
        <f aca="false">IF(OR(P110="",Q110=""),"",P110-Q110)</f>
        <v/>
      </c>
      <c r="S110" s="19" t="str">
        <f aca="false">IF(R110="","",R110*F110)</f>
        <v/>
      </c>
      <c r="T110" s="20" t="str">
        <f aca="false">IF(OR(R110="",P110=0),"",R110/P110)</f>
        <v/>
      </c>
      <c r="U110" s="13"/>
    </row>
    <row r="111" customFormat="false" ht="15" hidden="false" customHeight="false" outlineLevel="0" collapsed="false">
      <c r="A111" s="13"/>
      <c r="B111" s="16"/>
      <c r="C111" s="13"/>
      <c r="D111" s="13"/>
      <c r="E111" s="13"/>
      <c r="F111" s="17"/>
      <c r="G111" s="13"/>
      <c r="H111" s="18"/>
      <c r="I111" s="13"/>
      <c r="J111" s="18"/>
      <c r="K111" s="13"/>
      <c r="L111" s="18"/>
      <c r="M111" s="19" t="str">
        <f aca="false">IF(COUNT(H111,J111,L111)=0,"",MIN(H111,J111,L111))</f>
        <v/>
      </c>
      <c r="N111" s="14" t="str">
        <f aca="false">IF(M111="","",IF(H111=M111,G111,IF(J111=M111,I111,K111)))</f>
        <v/>
      </c>
      <c r="O111" s="19" t="str">
        <f aca="false">IF(M111="","",M111*F111)</f>
        <v/>
      </c>
      <c r="P111" s="18"/>
      <c r="Q111" s="18"/>
      <c r="R111" s="19" t="str">
        <f aca="false">IF(OR(P111="",Q111=""),"",P111-Q111)</f>
        <v/>
      </c>
      <c r="S111" s="19" t="str">
        <f aca="false">IF(R111="","",R111*F111)</f>
        <v/>
      </c>
      <c r="T111" s="20" t="str">
        <f aca="false">IF(OR(R111="",P111=0),"",R111/P111)</f>
        <v/>
      </c>
      <c r="U111" s="13"/>
    </row>
    <row r="112" customFormat="false" ht="15" hidden="false" customHeight="false" outlineLevel="0" collapsed="false">
      <c r="A112" s="13"/>
      <c r="B112" s="16"/>
      <c r="C112" s="13"/>
      <c r="D112" s="13"/>
      <c r="E112" s="13"/>
      <c r="F112" s="17"/>
      <c r="G112" s="13"/>
      <c r="H112" s="18"/>
      <c r="I112" s="13"/>
      <c r="J112" s="18"/>
      <c r="K112" s="13"/>
      <c r="L112" s="18"/>
      <c r="M112" s="19" t="str">
        <f aca="false">IF(COUNT(H112,J112,L112)=0,"",MIN(H112,J112,L112))</f>
        <v/>
      </c>
      <c r="N112" s="14" t="str">
        <f aca="false">IF(M112="","",IF(H112=M112,G112,IF(J112=M112,I112,K112)))</f>
        <v/>
      </c>
      <c r="O112" s="19" t="str">
        <f aca="false">IF(M112="","",M112*F112)</f>
        <v/>
      </c>
      <c r="P112" s="18"/>
      <c r="Q112" s="18"/>
      <c r="R112" s="19" t="str">
        <f aca="false">IF(OR(P112="",Q112=""),"",P112-Q112)</f>
        <v/>
      </c>
      <c r="S112" s="19" t="str">
        <f aca="false">IF(R112="","",R112*F112)</f>
        <v/>
      </c>
      <c r="T112" s="20" t="str">
        <f aca="false">IF(OR(R112="",P112=0),"",R112/P112)</f>
        <v/>
      </c>
      <c r="U112" s="13"/>
    </row>
    <row r="113" customFormat="false" ht="15" hidden="false" customHeight="false" outlineLevel="0" collapsed="false">
      <c r="A113" s="13"/>
      <c r="B113" s="16"/>
      <c r="C113" s="13"/>
      <c r="D113" s="13"/>
      <c r="E113" s="13"/>
      <c r="F113" s="17"/>
      <c r="G113" s="13"/>
      <c r="H113" s="18"/>
      <c r="I113" s="13"/>
      <c r="J113" s="18"/>
      <c r="K113" s="13"/>
      <c r="L113" s="18"/>
      <c r="M113" s="19" t="str">
        <f aca="false">IF(COUNT(H113,J113,L113)=0,"",MIN(H113,J113,L113))</f>
        <v/>
      </c>
      <c r="N113" s="14" t="str">
        <f aca="false">IF(M113="","",IF(H113=M113,G113,IF(J113=M113,I113,K113)))</f>
        <v/>
      </c>
      <c r="O113" s="19" t="str">
        <f aca="false">IF(M113="","",M113*F113)</f>
        <v/>
      </c>
      <c r="P113" s="18"/>
      <c r="Q113" s="18"/>
      <c r="R113" s="19" t="str">
        <f aca="false">IF(OR(P113="",Q113=""),"",P113-Q113)</f>
        <v/>
      </c>
      <c r="S113" s="19" t="str">
        <f aca="false">IF(R113="","",R113*F113)</f>
        <v/>
      </c>
      <c r="T113" s="20" t="str">
        <f aca="false">IF(OR(R113="",P113=0),"",R113/P113)</f>
        <v/>
      </c>
      <c r="U113" s="13"/>
    </row>
    <row r="114" customFormat="false" ht="15" hidden="false" customHeight="false" outlineLevel="0" collapsed="false">
      <c r="A114" s="13"/>
      <c r="B114" s="16"/>
      <c r="C114" s="13"/>
      <c r="D114" s="13"/>
      <c r="E114" s="13"/>
      <c r="F114" s="17"/>
      <c r="G114" s="13"/>
      <c r="H114" s="18"/>
      <c r="I114" s="13"/>
      <c r="J114" s="18"/>
      <c r="K114" s="13"/>
      <c r="L114" s="18"/>
      <c r="M114" s="19" t="str">
        <f aca="false">IF(COUNT(H114,J114,L114)=0,"",MIN(H114,J114,L114))</f>
        <v/>
      </c>
      <c r="N114" s="14" t="str">
        <f aca="false">IF(M114="","",IF(H114=M114,G114,IF(J114=M114,I114,K114)))</f>
        <v/>
      </c>
      <c r="O114" s="19" t="str">
        <f aca="false">IF(M114="","",M114*F114)</f>
        <v/>
      </c>
      <c r="P114" s="18"/>
      <c r="Q114" s="18"/>
      <c r="R114" s="19" t="str">
        <f aca="false">IF(OR(P114="",Q114=""),"",P114-Q114)</f>
        <v/>
      </c>
      <c r="S114" s="19" t="str">
        <f aca="false">IF(R114="","",R114*F114)</f>
        <v/>
      </c>
      <c r="T114" s="20" t="str">
        <f aca="false">IF(OR(R114="",P114=0),"",R114/P114)</f>
        <v/>
      </c>
      <c r="U114" s="13"/>
    </row>
    <row r="115" customFormat="false" ht="15" hidden="false" customHeight="false" outlineLevel="0" collapsed="false">
      <c r="A115" s="13"/>
      <c r="B115" s="16"/>
      <c r="C115" s="13"/>
      <c r="D115" s="13"/>
      <c r="E115" s="13"/>
      <c r="F115" s="17"/>
      <c r="G115" s="13"/>
      <c r="H115" s="18"/>
      <c r="I115" s="13"/>
      <c r="J115" s="18"/>
      <c r="K115" s="13"/>
      <c r="L115" s="18"/>
      <c r="M115" s="19" t="str">
        <f aca="false">IF(COUNT(H115,J115,L115)=0,"",MIN(H115,J115,L115))</f>
        <v/>
      </c>
      <c r="N115" s="14" t="str">
        <f aca="false">IF(M115="","",IF(H115=M115,G115,IF(J115=M115,I115,K115)))</f>
        <v/>
      </c>
      <c r="O115" s="19" t="str">
        <f aca="false">IF(M115="","",M115*F115)</f>
        <v/>
      </c>
      <c r="P115" s="18"/>
      <c r="Q115" s="18"/>
      <c r="R115" s="19" t="str">
        <f aca="false">IF(OR(P115="",Q115=""),"",P115-Q115)</f>
        <v/>
      </c>
      <c r="S115" s="19" t="str">
        <f aca="false">IF(R115="","",R115*F115)</f>
        <v/>
      </c>
      <c r="T115" s="20" t="str">
        <f aca="false">IF(OR(R115="",P115=0),"",R115/P115)</f>
        <v/>
      </c>
      <c r="U115" s="13"/>
    </row>
    <row r="116" customFormat="false" ht="15" hidden="false" customHeight="false" outlineLevel="0" collapsed="false">
      <c r="A116" s="13"/>
      <c r="B116" s="16"/>
      <c r="C116" s="13"/>
      <c r="D116" s="13"/>
      <c r="E116" s="13"/>
      <c r="F116" s="17"/>
      <c r="G116" s="13"/>
      <c r="H116" s="18"/>
      <c r="I116" s="13"/>
      <c r="J116" s="18"/>
      <c r="K116" s="13"/>
      <c r="L116" s="18"/>
      <c r="M116" s="19" t="str">
        <f aca="false">IF(COUNT(H116,J116,L116)=0,"",MIN(H116,J116,L116))</f>
        <v/>
      </c>
      <c r="N116" s="14" t="str">
        <f aca="false">IF(M116="","",IF(H116=M116,G116,IF(J116=M116,I116,K116)))</f>
        <v/>
      </c>
      <c r="O116" s="19" t="str">
        <f aca="false">IF(M116="","",M116*F116)</f>
        <v/>
      </c>
      <c r="P116" s="18"/>
      <c r="Q116" s="18"/>
      <c r="R116" s="19" t="str">
        <f aca="false">IF(OR(P116="",Q116=""),"",P116-Q116)</f>
        <v/>
      </c>
      <c r="S116" s="19" t="str">
        <f aca="false">IF(R116="","",R116*F116)</f>
        <v/>
      </c>
      <c r="T116" s="20" t="str">
        <f aca="false">IF(OR(R116="",P116=0),"",R116/P116)</f>
        <v/>
      </c>
      <c r="U116" s="13"/>
    </row>
    <row r="117" customFormat="false" ht="15" hidden="false" customHeight="false" outlineLevel="0" collapsed="false">
      <c r="A117" s="13"/>
      <c r="B117" s="16"/>
      <c r="C117" s="13"/>
      <c r="D117" s="13"/>
      <c r="E117" s="13"/>
      <c r="F117" s="17"/>
      <c r="G117" s="13"/>
      <c r="H117" s="18"/>
      <c r="I117" s="13"/>
      <c r="J117" s="18"/>
      <c r="K117" s="13"/>
      <c r="L117" s="18"/>
      <c r="M117" s="19" t="str">
        <f aca="false">IF(COUNT(H117,J117,L117)=0,"",MIN(H117,J117,L117))</f>
        <v/>
      </c>
      <c r="N117" s="14" t="str">
        <f aca="false">IF(M117="","",IF(H117=M117,G117,IF(J117=M117,I117,K117)))</f>
        <v/>
      </c>
      <c r="O117" s="19" t="str">
        <f aca="false">IF(M117="","",M117*F117)</f>
        <v/>
      </c>
      <c r="P117" s="18"/>
      <c r="Q117" s="18"/>
      <c r="R117" s="19" t="str">
        <f aca="false">IF(OR(P117="",Q117=""),"",P117-Q117)</f>
        <v/>
      </c>
      <c r="S117" s="19" t="str">
        <f aca="false">IF(R117="","",R117*F117)</f>
        <v/>
      </c>
      <c r="T117" s="20" t="str">
        <f aca="false">IF(OR(R117="",P117=0),"",R117/P117)</f>
        <v/>
      </c>
      <c r="U117" s="13"/>
    </row>
    <row r="118" customFormat="false" ht="15" hidden="false" customHeight="false" outlineLevel="0" collapsed="false">
      <c r="A118" s="13"/>
      <c r="B118" s="16"/>
      <c r="C118" s="13"/>
      <c r="D118" s="13"/>
      <c r="E118" s="13"/>
      <c r="F118" s="17"/>
      <c r="G118" s="13"/>
      <c r="H118" s="18"/>
      <c r="I118" s="13"/>
      <c r="J118" s="18"/>
      <c r="K118" s="13"/>
      <c r="L118" s="18"/>
      <c r="M118" s="19" t="str">
        <f aca="false">IF(COUNT(H118,J118,L118)=0,"",MIN(H118,J118,L118))</f>
        <v/>
      </c>
      <c r="N118" s="14" t="str">
        <f aca="false">IF(M118="","",IF(H118=M118,G118,IF(J118=M118,I118,K118)))</f>
        <v/>
      </c>
      <c r="O118" s="19" t="str">
        <f aca="false">IF(M118="","",M118*F118)</f>
        <v/>
      </c>
      <c r="P118" s="18"/>
      <c r="Q118" s="18"/>
      <c r="R118" s="19" t="str">
        <f aca="false">IF(OR(P118="",Q118=""),"",P118-Q118)</f>
        <v/>
      </c>
      <c r="S118" s="19" t="str">
        <f aca="false">IF(R118="","",R118*F118)</f>
        <v/>
      </c>
      <c r="T118" s="20" t="str">
        <f aca="false">IF(OR(R118="",P118=0),"",R118/P118)</f>
        <v/>
      </c>
      <c r="U118" s="13"/>
    </row>
    <row r="119" customFormat="false" ht="15" hidden="false" customHeight="false" outlineLevel="0" collapsed="false">
      <c r="A119" s="13"/>
      <c r="B119" s="16"/>
      <c r="C119" s="13"/>
      <c r="D119" s="13"/>
      <c r="E119" s="13"/>
      <c r="F119" s="17"/>
      <c r="G119" s="13"/>
      <c r="H119" s="18"/>
      <c r="I119" s="13"/>
      <c r="J119" s="18"/>
      <c r="K119" s="13"/>
      <c r="L119" s="18"/>
      <c r="M119" s="19" t="str">
        <f aca="false">IF(COUNT(H119,J119,L119)=0,"",MIN(H119,J119,L119))</f>
        <v/>
      </c>
      <c r="N119" s="14" t="str">
        <f aca="false">IF(M119="","",IF(H119=M119,G119,IF(J119=M119,I119,K119)))</f>
        <v/>
      </c>
      <c r="O119" s="19" t="str">
        <f aca="false">IF(M119="","",M119*F119)</f>
        <v/>
      </c>
      <c r="P119" s="18"/>
      <c r="Q119" s="18"/>
      <c r="R119" s="19" t="str">
        <f aca="false">IF(OR(P119="",Q119=""),"",P119-Q119)</f>
        <v/>
      </c>
      <c r="S119" s="19" t="str">
        <f aca="false">IF(R119="","",R119*F119)</f>
        <v/>
      </c>
      <c r="T119" s="20" t="str">
        <f aca="false">IF(OR(R119="",P119=0),"",R119/P119)</f>
        <v/>
      </c>
      <c r="U119" s="13"/>
    </row>
    <row r="120" customFormat="false" ht="15" hidden="false" customHeight="false" outlineLevel="0" collapsed="false">
      <c r="A120" s="13"/>
      <c r="B120" s="16"/>
      <c r="C120" s="13"/>
      <c r="D120" s="13"/>
      <c r="E120" s="13"/>
      <c r="F120" s="17"/>
      <c r="G120" s="13"/>
      <c r="H120" s="18"/>
      <c r="I120" s="13"/>
      <c r="J120" s="18"/>
      <c r="K120" s="13"/>
      <c r="L120" s="18"/>
      <c r="M120" s="19" t="str">
        <f aca="false">IF(COUNT(H120,J120,L120)=0,"",MIN(H120,J120,L120))</f>
        <v/>
      </c>
      <c r="N120" s="14" t="str">
        <f aca="false">IF(M120="","",IF(H120=M120,G120,IF(J120=M120,I120,K120)))</f>
        <v/>
      </c>
      <c r="O120" s="19" t="str">
        <f aca="false">IF(M120="","",M120*F120)</f>
        <v/>
      </c>
      <c r="P120" s="18"/>
      <c r="Q120" s="18"/>
      <c r="R120" s="19" t="str">
        <f aca="false">IF(OR(P120="",Q120=""),"",P120-Q120)</f>
        <v/>
      </c>
      <c r="S120" s="19" t="str">
        <f aca="false">IF(R120="","",R120*F120)</f>
        <v/>
      </c>
      <c r="T120" s="20" t="str">
        <f aca="false">IF(OR(R120="",P120=0),"",R120/P120)</f>
        <v/>
      </c>
      <c r="U120" s="13"/>
    </row>
    <row r="121" customFormat="false" ht="15" hidden="false" customHeight="false" outlineLevel="0" collapsed="false">
      <c r="A121" s="13"/>
      <c r="B121" s="16"/>
      <c r="C121" s="13"/>
      <c r="D121" s="13"/>
      <c r="E121" s="13"/>
      <c r="F121" s="17"/>
      <c r="G121" s="13"/>
      <c r="H121" s="18"/>
      <c r="I121" s="13"/>
      <c r="J121" s="18"/>
      <c r="K121" s="13"/>
      <c r="L121" s="18"/>
      <c r="M121" s="19" t="str">
        <f aca="false">IF(COUNT(H121,J121,L121)=0,"",MIN(H121,J121,L121))</f>
        <v/>
      </c>
      <c r="N121" s="14" t="str">
        <f aca="false">IF(M121="","",IF(H121=M121,G121,IF(J121=M121,I121,K121)))</f>
        <v/>
      </c>
      <c r="O121" s="19" t="str">
        <f aca="false">IF(M121="","",M121*F121)</f>
        <v/>
      </c>
      <c r="P121" s="18"/>
      <c r="Q121" s="18"/>
      <c r="R121" s="19" t="str">
        <f aca="false">IF(OR(P121="",Q121=""),"",P121-Q121)</f>
        <v/>
      </c>
      <c r="S121" s="19" t="str">
        <f aca="false">IF(R121="","",R121*F121)</f>
        <v/>
      </c>
      <c r="T121" s="20" t="str">
        <f aca="false">IF(OR(R121="",P121=0),"",R121/P121)</f>
        <v/>
      </c>
      <c r="U121" s="13"/>
    </row>
    <row r="122" customFormat="false" ht="15" hidden="false" customHeight="false" outlineLevel="0" collapsed="false">
      <c r="A122" s="13"/>
      <c r="B122" s="16"/>
      <c r="C122" s="13"/>
      <c r="D122" s="13"/>
      <c r="E122" s="13"/>
      <c r="F122" s="17"/>
      <c r="G122" s="13"/>
      <c r="H122" s="18"/>
      <c r="I122" s="13"/>
      <c r="J122" s="18"/>
      <c r="K122" s="13"/>
      <c r="L122" s="18"/>
      <c r="M122" s="19" t="str">
        <f aca="false">IF(COUNT(H122,J122,L122)=0,"",MIN(H122,J122,L122))</f>
        <v/>
      </c>
      <c r="N122" s="14" t="str">
        <f aca="false">IF(M122="","",IF(H122=M122,G122,IF(J122=M122,I122,K122)))</f>
        <v/>
      </c>
      <c r="O122" s="19" t="str">
        <f aca="false">IF(M122="","",M122*F122)</f>
        <v/>
      </c>
      <c r="P122" s="18"/>
      <c r="Q122" s="18"/>
      <c r="R122" s="19" t="str">
        <f aca="false">IF(OR(P122="",Q122=""),"",P122-Q122)</f>
        <v/>
      </c>
      <c r="S122" s="19" t="str">
        <f aca="false">IF(R122="","",R122*F122)</f>
        <v/>
      </c>
      <c r="T122" s="20" t="str">
        <f aca="false">IF(OR(R122="",P122=0),"",R122/P122)</f>
        <v/>
      </c>
      <c r="U122" s="13"/>
    </row>
    <row r="123" customFormat="false" ht="15" hidden="false" customHeight="false" outlineLevel="0" collapsed="false">
      <c r="A123" s="13"/>
      <c r="B123" s="16"/>
      <c r="C123" s="13"/>
      <c r="D123" s="13"/>
      <c r="E123" s="13"/>
      <c r="F123" s="17"/>
      <c r="G123" s="13"/>
      <c r="H123" s="18"/>
      <c r="I123" s="13"/>
      <c r="J123" s="18"/>
      <c r="K123" s="13"/>
      <c r="L123" s="18"/>
      <c r="M123" s="19" t="str">
        <f aca="false">IF(COUNT(H123,J123,L123)=0,"",MIN(H123,J123,L123))</f>
        <v/>
      </c>
      <c r="N123" s="14" t="str">
        <f aca="false">IF(M123="","",IF(H123=M123,G123,IF(J123=M123,I123,K123)))</f>
        <v/>
      </c>
      <c r="O123" s="19" t="str">
        <f aca="false">IF(M123="","",M123*F123)</f>
        <v/>
      </c>
      <c r="P123" s="18"/>
      <c r="Q123" s="18"/>
      <c r="R123" s="19" t="str">
        <f aca="false">IF(OR(P123="",Q123=""),"",P123-Q123)</f>
        <v/>
      </c>
      <c r="S123" s="19" t="str">
        <f aca="false">IF(R123="","",R123*F123)</f>
        <v/>
      </c>
      <c r="T123" s="20" t="str">
        <f aca="false">IF(OR(R123="",P123=0),"",R123/P123)</f>
        <v/>
      </c>
      <c r="U123" s="13"/>
    </row>
    <row r="124" customFormat="false" ht="15" hidden="false" customHeight="false" outlineLevel="0" collapsed="false">
      <c r="A124" s="13"/>
      <c r="B124" s="16"/>
      <c r="C124" s="13"/>
      <c r="D124" s="13"/>
      <c r="E124" s="13"/>
      <c r="F124" s="17"/>
      <c r="G124" s="13"/>
      <c r="H124" s="18"/>
      <c r="I124" s="13"/>
      <c r="J124" s="18"/>
      <c r="K124" s="13"/>
      <c r="L124" s="18"/>
      <c r="M124" s="19" t="str">
        <f aca="false">IF(COUNT(H124,J124,L124)=0,"",MIN(H124,J124,L124))</f>
        <v/>
      </c>
      <c r="N124" s="14" t="str">
        <f aca="false">IF(M124="","",IF(H124=M124,G124,IF(J124=M124,I124,K124)))</f>
        <v/>
      </c>
      <c r="O124" s="19" t="str">
        <f aca="false">IF(M124="","",M124*F124)</f>
        <v/>
      </c>
      <c r="P124" s="18"/>
      <c r="Q124" s="18"/>
      <c r="R124" s="19" t="str">
        <f aca="false">IF(OR(P124="",Q124=""),"",P124-Q124)</f>
        <v/>
      </c>
      <c r="S124" s="19" t="str">
        <f aca="false">IF(R124="","",R124*F124)</f>
        <v/>
      </c>
      <c r="T124" s="20" t="str">
        <f aca="false">IF(OR(R124="",P124=0),"",R124/P124)</f>
        <v/>
      </c>
      <c r="U124" s="13"/>
    </row>
    <row r="125" customFormat="false" ht="15" hidden="false" customHeight="false" outlineLevel="0" collapsed="false">
      <c r="A125" s="13"/>
      <c r="B125" s="16"/>
      <c r="C125" s="13"/>
      <c r="D125" s="13"/>
      <c r="E125" s="13"/>
      <c r="F125" s="17"/>
      <c r="G125" s="13"/>
      <c r="H125" s="18"/>
      <c r="I125" s="13"/>
      <c r="J125" s="18"/>
      <c r="K125" s="13"/>
      <c r="L125" s="18"/>
      <c r="M125" s="19" t="str">
        <f aca="false">IF(COUNT(H125,J125,L125)=0,"",MIN(H125,J125,L125))</f>
        <v/>
      </c>
      <c r="N125" s="14" t="str">
        <f aca="false">IF(M125="","",IF(H125=M125,G125,IF(J125=M125,I125,K125)))</f>
        <v/>
      </c>
      <c r="O125" s="19" t="str">
        <f aca="false">IF(M125="","",M125*F125)</f>
        <v/>
      </c>
      <c r="P125" s="18"/>
      <c r="Q125" s="18"/>
      <c r="R125" s="19" t="str">
        <f aca="false">IF(OR(P125="",Q125=""),"",P125-Q125)</f>
        <v/>
      </c>
      <c r="S125" s="19" t="str">
        <f aca="false">IF(R125="","",R125*F125)</f>
        <v/>
      </c>
      <c r="T125" s="20" t="str">
        <f aca="false">IF(OR(R125="",P125=0),"",R125/P125)</f>
        <v/>
      </c>
      <c r="U125" s="13"/>
    </row>
    <row r="126" customFormat="false" ht="15" hidden="false" customHeight="false" outlineLevel="0" collapsed="false">
      <c r="A126" s="13"/>
      <c r="B126" s="16"/>
      <c r="C126" s="13"/>
      <c r="D126" s="13"/>
      <c r="E126" s="13"/>
      <c r="F126" s="17"/>
      <c r="G126" s="13"/>
      <c r="H126" s="18"/>
      <c r="I126" s="13"/>
      <c r="J126" s="18"/>
      <c r="K126" s="13"/>
      <c r="L126" s="18"/>
      <c r="M126" s="19" t="str">
        <f aca="false">IF(COUNT(H126,J126,L126)=0,"",MIN(H126,J126,L126))</f>
        <v/>
      </c>
      <c r="N126" s="14" t="str">
        <f aca="false">IF(M126="","",IF(H126=M126,G126,IF(J126=M126,I126,K126)))</f>
        <v/>
      </c>
      <c r="O126" s="19" t="str">
        <f aca="false">IF(M126="","",M126*F126)</f>
        <v/>
      </c>
      <c r="P126" s="18"/>
      <c r="Q126" s="18"/>
      <c r="R126" s="19" t="str">
        <f aca="false">IF(OR(P126="",Q126=""),"",P126-Q126)</f>
        <v/>
      </c>
      <c r="S126" s="19" t="str">
        <f aca="false">IF(R126="","",R126*F126)</f>
        <v/>
      </c>
      <c r="T126" s="20" t="str">
        <f aca="false">IF(OR(R126="",P126=0),"",R126/P126)</f>
        <v/>
      </c>
      <c r="U126" s="13"/>
    </row>
    <row r="127" customFormat="false" ht="15" hidden="false" customHeight="false" outlineLevel="0" collapsed="false">
      <c r="A127" s="13"/>
      <c r="B127" s="16"/>
      <c r="C127" s="13"/>
      <c r="D127" s="13"/>
      <c r="E127" s="13"/>
      <c r="F127" s="17"/>
      <c r="G127" s="13"/>
      <c r="H127" s="18"/>
      <c r="I127" s="13"/>
      <c r="J127" s="18"/>
      <c r="K127" s="13"/>
      <c r="L127" s="18"/>
      <c r="M127" s="19" t="str">
        <f aca="false">IF(COUNT(H127,J127,L127)=0,"",MIN(H127,J127,L127))</f>
        <v/>
      </c>
      <c r="N127" s="14" t="str">
        <f aca="false">IF(M127="","",IF(H127=M127,G127,IF(J127=M127,I127,K127)))</f>
        <v/>
      </c>
      <c r="O127" s="19" t="str">
        <f aca="false">IF(M127="","",M127*F127)</f>
        <v/>
      </c>
      <c r="P127" s="18"/>
      <c r="Q127" s="18"/>
      <c r="R127" s="19" t="str">
        <f aca="false">IF(OR(P127="",Q127=""),"",P127-Q127)</f>
        <v/>
      </c>
      <c r="S127" s="19" t="str">
        <f aca="false">IF(R127="","",R127*F127)</f>
        <v/>
      </c>
      <c r="T127" s="20" t="str">
        <f aca="false">IF(OR(R127="",P127=0),"",R127/P127)</f>
        <v/>
      </c>
      <c r="U127" s="13"/>
    </row>
    <row r="128" customFormat="false" ht="15" hidden="false" customHeight="false" outlineLevel="0" collapsed="false">
      <c r="A128" s="13"/>
      <c r="B128" s="16"/>
      <c r="C128" s="13"/>
      <c r="D128" s="13"/>
      <c r="E128" s="13"/>
      <c r="F128" s="17"/>
      <c r="G128" s="13"/>
      <c r="H128" s="18"/>
      <c r="I128" s="13"/>
      <c r="J128" s="18"/>
      <c r="K128" s="13"/>
      <c r="L128" s="18"/>
      <c r="M128" s="19" t="str">
        <f aca="false">IF(COUNT(H128,J128,L128)=0,"",MIN(H128,J128,L128))</f>
        <v/>
      </c>
      <c r="N128" s="14" t="str">
        <f aca="false">IF(M128="","",IF(H128=M128,G128,IF(J128=M128,I128,K128)))</f>
        <v/>
      </c>
      <c r="O128" s="19" t="str">
        <f aca="false">IF(M128="","",M128*F128)</f>
        <v/>
      </c>
      <c r="P128" s="18"/>
      <c r="Q128" s="18"/>
      <c r="R128" s="19" t="str">
        <f aca="false">IF(OR(P128="",Q128=""),"",P128-Q128)</f>
        <v/>
      </c>
      <c r="S128" s="19" t="str">
        <f aca="false">IF(R128="","",R128*F128)</f>
        <v/>
      </c>
      <c r="T128" s="20" t="str">
        <f aca="false">IF(OR(R128="",P128=0),"",R128/P128)</f>
        <v/>
      </c>
      <c r="U128" s="13"/>
    </row>
    <row r="129" customFormat="false" ht="15" hidden="false" customHeight="false" outlineLevel="0" collapsed="false">
      <c r="A129" s="13"/>
      <c r="B129" s="16"/>
      <c r="C129" s="13"/>
      <c r="D129" s="13"/>
      <c r="E129" s="13"/>
      <c r="F129" s="17"/>
      <c r="G129" s="13"/>
      <c r="H129" s="18"/>
      <c r="I129" s="13"/>
      <c r="J129" s="18"/>
      <c r="K129" s="13"/>
      <c r="L129" s="18"/>
      <c r="M129" s="19" t="str">
        <f aca="false">IF(COUNT(H129,J129,L129)=0,"",MIN(H129,J129,L129))</f>
        <v/>
      </c>
      <c r="N129" s="14" t="str">
        <f aca="false">IF(M129="","",IF(H129=M129,G129,IF(J129=M129,I129,K129)))</f>
        <v/>
      </c>
      <c r="O129" s="19" t="str">
        <f aca="false">IF(M129="","",M129*F129)</f>
        <v/>
      </c>
      <c r="P129" s="18"/>
      <c r="Q129" s="18"/>
      <c r="R129" s="19" t="str">
        <f aca="false">IF(OR(P129="",Q129=""),"",P129-Q129)</f>
        <v/>
      </c>
      <c r="S129" s="19" t="str">
        <f aca="false">IF(R129="","",R129*F129)</f>
        <v/>
      </c>
      <c r="T129" s="20" t="str">
        <f aca="false">IF(OR(R129="",P129=0),"",R129/P129)</f>
        <v/>
      </c>
      <c r="U129" s="13"/>
    </row>
    <row r="130" customFormat="false" ht="15" hidden="false" customHeight="false" outlineLevel="0" collapsed="false">
      <c r="A130" s="13"/>
      <c r="B130" s="16"/>
      <c r="C130" s="13"/>
      <c r="D130" s="13"/>
      <c r="E130" s="13"/>
      <c r="F130" s="17"/>
      <c r="G130" s="13"/>
      <c r="H130" s="18"/>
      <c r="I130" s="13"/>
      <c r="J130" s="18"/>
      <c r="K130" s="13"/>
      <c r="L130" s="18"/>
      <c r="M130" s="19" t="str">
        <f aca="false">IF(COUNT(H130,J130,L130)=0,"",MIN(H130,J130,L130))</f>
        <v/>
      </c>
      <c r="N130" s="14" t="str">
        <f aca="false">IF(M130="","",IF(H130=M130,G130,IF(J130=M130,I130,K130)))</f>
        <v/>
      </c>
      <c r="O130" s="19" t="str">
        <f aca="false">IF(M130="","",M130*F130)</f>
        <v/>
      </c>
      <c r="P130" s="18"/>
      <c r="Q130" s="18"/>
      <c r="R130" s="19" t="str">
        <f aca="false">IF(OR(P130="",Q130=""),"",P130-Q130)</f>
        <v/>
      </c>
      <c r="S130" s="19" t="str">
        <f aca="false">IF(R130="","",R130*F130)</f>
        <v/>
      </c>
      <c r="T130" s="20" t="str">
        <f aca="false">IF(OR(R130="",P130=0),"",R130/P130)</f>
        <v/>
      </c>
      <c r="U130" s="13"/>
    </row>
    <row r="131" customFormat="false" ht="15" hidden="false" customHeight="false" outlineLevel="0" collapsed="false">
      <c r="A131" s="13"/>
      <c r="B131" s="16"/>
      <c r="C131" s="13"/>
      <c r="D131" s="13"/>
      <c r="E131" s="13"/>
      <c r="F131" s="17"/>
      <c r="G131" s="13"/>
      <c r="H131" s="18"/>
      <c r="I131" s="13"/>
      <c r="J131" s="18"/>
      <c r="K131" s="13"/>
      <c r="L131" s="18"/>
      <c r="M131" s="19" t="str">
        <f aca="false">IF(COUNT(H131,J131,L131)=0,"",MIN(H131,J131,L131))</f>
        <v/>
      </c>
      <c r="N131" s="14" t="str">
        <f aca="false">IF(M131="","",IF(H131=M131,G131,IF(J131=M131,I131,K131)))</f>
        <v/>
      </c>
      <c r="O131" s="19" t="str">
        <f aca="false">IF(M131="","",M131*F131)</f>
        <v/>
      </c>
      <c r="P131" s="18"/>
      <c r="Q131" s="18"/>
      <c r="R131" s="19" t="str">
        <f aca="false">IF(OR(P131="",Q131=""),"",P131-Q131)</f>
        <v/>
      </c>
      <c r="S131" s="19" t="str">
        <f aca="false">IF(R131="","",R131*F131)</f>
        <v/>
      </c>
      <c r="T131" s="20" t="str">
        <f aca="false">IF(OR(R131="",P131=0),"",R131/P131)</f>
        <v/>
      </c>
      <c r="U131" s="13"/>
    </row>
    <row r="132" customFormat="false" ht="15" hidden="false" customHeight="false" outlineLevel="0" collapsed="false">
      <c r="A132" s="13"/>
      <c r="B132" s="16"/>
      <c r="C132" s="13"/>
      <c r="D132" s="13"/>
      <c r="E132" s="13"/>
      <c r="F132" s="17"/>
      <c r="G132" s="13"/>
      <c r="H132" s="18"/>
      <c r="I132" s="13"/>
      <c r="J132" s="18"/>
      <c r="K132" s="13"/>
      <c r="L132" s="18"/>
      <c r="M132" s="19" t="str">
        <f aca="false">IF(COUNT(H132,J132,L132)=0,"",MIN(H132,J132,L132))</f>
        <v/>
      </c>
      <c r="N132" s="14" t="str">
        <f aca="false">IF(M132="","",IF(H132=M132,G132,IF(J132=M132,I132,K132)))</f>
        <v/>
      </c>
      <c r="O132" s="19" t="str">
        <f aca="false">IF(M132="","",M132*F132)</f>
        <v/>
      </c>
      <c r="P132" s="18"/>
      <c r="Q132" s="18"/>
      <c r="R132" s="19" t="str">
        <f aca="false">IF(OR(P132="",Q132=""),"",P132-Q132)</f>
        <v/>
      </c>
      <c r="S132" s="19" t="str">
        <f aca="false">IF(R132="","",R132*F132)</f>
        <v/>
      </c>
      <c r="T132" s="20" t="str">
        <f aca="false">IF(OR(R132="",P132=0),"",R132/P132)</f>
        <v/>
      </c>
      <c r="U132" s="13"/>
    </row>
    <row r="133" customFormat="false" ht="15" hidden="false" customHeight="false" outlineLevel="0" collapsed="false">
      <c r="A133" s="13"/>
      <c r="B133" s="16"/>
      <c r="C133" s="13"/>
      <c r="D133" s="13"/>
      <c r="E133" s="13"/>
      <c r="F133" s="17"/>
      <c r="G133" s="13"/>
      <c r="H133" s="18"/>
      <c r="I133" s="13"/>
      <c r="J133" s="18"/>
      <c r="K133" s="13"/>
      <c r="L133" s="18"/>
      <c r="M133" s="19" t="str">
        <f aca="false">IF(COUNT(H133,J133,L133)=0,"",MIN(H133,J133,L133))</f>
        <v/>
      </c>
      <c r="N133" s="14" t="str">
        <f aca="false">IF(M133="","",IF(H133=M133,G133,IF(J133=M133,I133,K133)))</f>
        <v/>
      </c>
      <c r="O133" s="19" t="str">
        <f aca="false">IF(M133="","",M133*F133)</f>
        <v/>
      </c>
      <c r="P133" s="18"/>
      <c r="Q133" s="18"/>
      <c r="R133" s="19" t="str">
        <f aca="false">IF(OR(P133="",Q133=""),"",P133-Q133)</f>
        <v/>
      </c>
      <c r="S133" s="19" t="str">
        <f aca="false">IF(R133="","",R133*F133)</f>
        <v/>
      </c>
      <c r="T133" s="20" t="str">
        <f aca="false">IF(OR(R133="",P133=0),"",R133/P133)</f>
        <v/>
      </c>
      <c r="U133" s="13"/>
    </row>
    <row r="134" customFormat="false" ht="15" hidden="false" customHeight="false" outlineLevel="0" collapsed="false">
      <c r="A134" s="13"/>
      <c r="B134" s="16"/>
      <c r="C134" s="13"/>
      <c r="D134" s="13"/>
      <c r="E134" s="13"/>
      <c r="F134" s="17"/>
      <c r="G134" s="13"/>
      <c r="H134" s="18"/>
      <c r="I134" s="13"/>
      <c r="J134" s="18"/>
      <c r="K134" s="13"/>
      <c r="L134" s="18"/>
      <c r="M134" s="19" t="str">
        <f aca="false">IF(COUNT(H134,J134,L134)=0,"",MIN(H134,J134,L134))</f>
        <v/>
      </c>
      <c r="N134" s="14" t="str">
        <f aca="false">IF(M134="","",IF(H134=M134,G134,IF(J134=M134,I134,K134)))</f>
        <v/>
      </c>
      <c r="O134" s="19" t="str">
        <f aca="false">IF(M134="","",M134*F134)</f>
        <v/>
      </c>
      <c r="P134" s="18"/>
      <c r="Q134" s="18"/>
      <c r="R134" s="19" t="str">
        <f aca="false">IF(OR(P134="",Q134=""),"",P134-Q134)</f>
        <v/>
      </c>
      <c r="S134" s="19" t="str">
        <f aca="false">IF(R134="","",R134*F134)</f>
        <v/>
      </c>
      <c r="T134" s="20" t="str">
        <f aca="false">IF(OR(R134="",P134=0),"",R134/P134)</f>
        <v/>
      </c>
      <c r="U134" s="13"/>
    </row>
    <row r="135" customFormat="false" ht="15" hidden="false" customHeight="false" outlineLevel="0" collapsed="false">
      <c r="A135" s="13"/>
      <c r="B135" s="16"/>
      <c r="C135" s="13"/>
      <c r="D135" s="13"/>
      <c r="E135" s="13"/>
      <c r="F135" s="17"/>
      <c r="G135" s="13"/>
      <c r="H135" s="18"/>
      <c r="I135" s="13"/>
      <c r="J135" s="18"/>
      <c r="K135" s="13"/>
      <c r="L135" s="18"/>
      <c r="M135" s="19" t="str">
        <f aca="false">IF(COUNT(H135,J135,L135)=0,"",MIN(H135,J135,L135))</f>
        <v/>
      </c>
      <c r="N135" s="14" t="str">
        <f aca="false">IF(M135="","",IF(H135=M135,G135,IF(J135=M135,I135,K135)))</f>
        <v/>
      </c>
      <c r="O135" s="19" t="str">
        <f aca="false">IF(M135="","",M135*F135)</f>
        <v/>
      </c>
      <c r="P135" s="18"/>
      <c r="Q135" s="18"/>
      <c r="R135" s="19" t="str">
        <f aca="false">IF(OR(P135="",Q135=""),"",P135-Q135)</f>
        <v/>
      </c>
      <c r="S135" s="19" t="str">
        <f aca="false">IF(R135="","",R135*F135)</f>
        <v/>
      </c>
      <c r="T135" s="20" t="str">
        <f aca="false">IF(OR(R135="",P135=0),"",R135/P135)</f>
        <v/>
      </c>
      <c r="U135" s="13"/>
    </row>
    <row r="136" customFormat="false" ht="15" hidden="false" customHeight="false" outlineLevel="0" collapsed="false">
      <c r="A136" s="13"/>
      <c r="B136" s="16"/>
      <c r="C136" s="13"/>
      <c r="D136" s="13"/>
      <c r="E136" s="13"/>
      <c r="F136" s="17"/>
      <c r="G136" s="13"/>
      <c r="H136" s="18"/>
      <c r="I136" s="13"/>
      <c r="J136" s="18"/>
      <c r="K136" s="13"/>
      <c r="L136" s="18"/>
      <c r="M136" s="19" t="str">
        <f aca="false">IF(COUNT(H136,J136,L136)=0,"",MIN(H136,J136,L136))</f>
        <v/>
      </c>
      <c r="N136" s="14" t="str">
        <f aca="false">IF(M136="","",IF(H136=M136,G136,IF(J136=M136,I136,K136)))</f>
        <v/>
      </c>
      <c r="O136" s="19" t="str">
        <f aca="false">IF(M136="","",M136*F136)</f>
        <v/>
      </c>
      <c r="P136" s="18"/>
      <c r="Q136" s="18"/>
      <c r="R136" s="19" t="str">
        <f aca="false">IF(OR(P136="",Q136=""),"",P136-Q136)</f>
        <v/>
      </c>
      <c r="S136" s="19" t="str">
        <f aca="false">IF(R136="","",R136*F136)</f>
        <v/>
      </c>
      <c r="T136" s="20" t="str">
        <f aca="false">IF(OR(R136="",P136=0),"",R136/P136)</f>
        <v/>
      </c>
      <c r="U136" s="13"/>
    </row>
    <row r="137" customFormat="false" ht="15" hidden="false" customHeight="false" outlineLevel="0" collapsed="false">
      <c r="A137" s="13"/>
      <c r="B137" s="16"/>
      <c r="C137" s="13"/>
      <c r="D137" s="13"/>
      <c r="E137" s="13"/>
      <c r="F137" s="17"/>
      <c r="G137" s="13"/>
      <c r="H137" s="18"/>
      <c r="I137" s="13"/>
      <c r="J137" s="18"/>
      <c r="K137" s="13"/>
      <c r="L137" s="18"/>
      <c r="M137" s="19" t="str">
        <f aca="false">IF(COUNT(H137,J137,L137)=0,"",MIN(H137,J137,L137))</f>
        <v/>
      </c>
      <c r="N137" s="14" t="str">
        <f aca="false">IF(M137="","",IF(H137=M137,G137,IF(J137=M137,I137,K137)))</f>
        <v/>
      </c>
      <c r="O137" s="19" t="str">
        <f aca="false">IF(M137="","",M137*F137)</f>
        <v/>
      </c>
      <c r="P137" s="18"/>
      <c r="Q137" s="18"/>
      <c r="R137" s="19" t="str">
        <f aca="false">IF(OR(P137="",Q137=""),"",P137-Q137)</f>
        <v/>
      </c>
      <c r="S137" s="19" t="str">
        <f aca="false">IF(R137="","",R137*F137)</f>
        <v/>
      </c>
      <c r="T137" s="20" t="str">
        <f aca="false">IF(OR(R137="",P137=0),"",R137/P137)</f>
        <v/>
      </c>
      <c r="U137" s="13"/>
    </row>
    <row r="138" customFormat="false" ht="15" hidden="false" customHeight="false" outlineLevel="0" collapsed="false">
      <c r="A138" s="13"/>
      <c r="B138" s="16"/>
      <c r="C138" s="13"/>
      <c r="D138" s="13"/>
      <c r="E138" s="13"/>
      <c r="F138" s="17"/>
      <c r="G138" s="13"/>
      <c r="H138" s="18"/>
      <c r="I138" s="13"/>
      <c r="J138" s="18"/>
      <c r="K138" s="13"/>
      <c r="L138" s="18"/>
      <c r="M138" s="19" t="str">
        <f aca="false">IF(COUNT(H138,J138,L138)=0,"",MIN(H138,J138,L138))</f>
        <v/>
      </c>
      <c r="N138" s="14" t="str">
        <f aca="false">IF(M138="","",IF(H138=M138,G138,IF(J138=M138,I138,K138)))</f>
        <v/>
      </c>
      <c r="O138" s="19" t="str">
        <f aca="false">IF(M138="","",M138*F138)</f>
        <v/>
      </c>
      <c r="P138" s="18"/>
      <c r="Q138" s="18"/>
      <c r="R138" s="19" t="str">
        <f aca="false">IF(OR(P138="",Q138=""),"",P138-Q138)</f>
        <v/>
      </c>
      <c r="S138" s="19" t="str">
        <f aca="false">IF(R138="","",R138*F138)</f>
        <v/>
      </c>
      <c r="T138" s="20" t="str">
        <f aca="false">IF(OR(R138="",P138=0),"",R138/P138)</f>
        <v/>
      </c>
      <c r="U138" s="13"/>
    </row>
    <row r="139" customFormat="false" ht="15" hidden="false" customHeight="false" outlineLevel="0" collapsed="false">
      <c r="A139" s="13"/>
      <c r="B139" s="16"/>
      <c r="C139" s="13"/>
      <c r="D139" s="13"/>
      <c r="E139" s="13"/>
      <c r="F139" s="17"/>
      <c r="G139" s="13"/>
      <c r="H139" s="18"/>
      <c r="I139" s="13"/>
      <c r="J139" s="18"/>
      <c r="K139" s="13"/>
      <c r="L139" s="18"/>
      <c r="M139" s="19" t="str">
        <f aca="false">IF(COUNT(H139,J139,L139)=0,"",MIN(H139,J139,L139))</f>
        <v/>
      </c>
      <c r="N139" s="14" t="str">
        <f aca="false">IF(M139="","",IF(H139=M139,G139,IF(J139=M139,I139,K139)))</f>
        <v/>
      </c>
      <c r="O139" s="19" t="str">
        <f aca="false">IF(M139="","",M139*F139)</f>
        <v/>
      </c>
      <c r="P139" s="18"/>
      <c r="Q139" s="18"/>
      <c r="R139" s="19" t="str">
        <f aca="false">IF(OR(P139="",Q139=""),"",P139-Q139)</f>
        <v/>
      </c>
      <c r="S139" s="19" t="str">
        <f aca="false">IF(R139="","",R139*F139)</f>
        <v/>
      </c>
      <c r="T139" s="20" t="str">
        <f aca="false">IF(OR(R139="",P139=0),"",R139/P139)</f>
        <v/>
      </c>
      <c r="U139" s="13"/>
    </row>
    <row r="140" customFormat="false" ht="15" hidden="false" customHeight="false" outlineLevel="0" collapsed="false">
      <c r="A140" s="13"/>
      <c r="B140" s="16"/>
      <c r="C140" s="13"/>
      <c r="D140" s="13"/>
      <c r="E140" s="13"/>
      <c r="F140" s="17"/>
      <c r="G140" s="13"/>
      <c r="H140" s="18"/>
      <c r="I140" s="13"/>
      <c r="J140" s="18"/>
      <c r="K140" s="13"/>
      <c r="L140" s="18"/>
      <c r="M140" s="19" t="str">
        <f aca="false">IF(COUNT(H140,J140,L140)=0,"",MIN(H140,J140,L140))</f>
        <v/>
      </c>
      <c r="N140" s="14" t="str">
        <f aca="false">IF(M140="","",IF(H140=M140,G140,IF(J140=M140,I140,K140)))</f>
        <v/>
      </c>
      <c r="O140" s="19" t="str">
        <f aca="false">IF(M140="","",M140*F140)</f>
        <v/>
      </c>
      <c r="P140" s="18"/>
      <c r="Q140" s="18"/>
      <c r="R140" s="19" t="str">
        <f aca="false">IF(OR(P140="",Q140=""),"",P140-Q140)</f>
        <v/>
      </c>
      <c r="S140" s="19" t="str">
        <f aca="false">IF(R140="","",R140*F140)</f>
        <v/>
      </c>
      <c r="T140" s="20" t="str">
        <f aca="false">IF(OR(R140="",P140=0),"",R140/P140)</f>
        <v/>
      </c>
      <c r="U140" s="13"/>
    </row>
    <row r="141" customFormat="false" ht="15" hidden="false" customHeight="false" outlineLevel="0" collapsed="false">
      <c r="A141" s="13"/>
      <c r="B141" s="16"/>
      <c r="C141" s="13"/>
      <c r="D141" s="13"/>
      <c r="E141" s="13"/>
      <c r="F141" s="17"/>
      <c r="G141" s="13"/>
      <c r="H141" s="18"/>
      <c r="I141" s="13"/>
      <c r="J141" s="18"/>
      <c r="K141" s="13"/>
      <c r="L141" s="18"/>
      <c r="M141" s="19" t="str">
        <f aca="false">IF(COUNT(H141,J141,L141)=0,"",MIN(H141,J141,L141))</f>
        <v/>
      </c>
      <c r="N141" s="14" t="str">
        <f aca="false">IF(M141="","",IF(H141=M141,G141,IF(J141=M141,I141,K141)))</f>
        <v/>
      </c>
      <c r="O141" s="19" t="str">
        <f aca="false">IF(M141="","",M141*F141)</f>
        <v/>
      </c>
      <c r="P141" s="18"/>
      <c r="Q141" s="18"/>
      <c r="R141" s="19" t="str">
        <f aca="false">IF(OR(P141="",Q141=""),"",P141-Q141)</f>
        <v/>
      </c>
      <c r="S141" s="19" t="str">
        <f aca="false">IF(R141="","",R141*F141)</f>
        <v/>
      </c>
      <c r="T141" s="20" t="str">
        <f aca="false">IF(OR(R141="",P141=0),"",R141/P141)</f>
        <v/>
      </c>
      <c r="U141" s="13"/>
    </row>
    <row r="142" customFormat="false" ht="15" hidden="false" customHeight="false" outlineLevel="0" collapsed="false">
      <c r="A142" s="13"/>
      <c r="B142" s="16"/>
      <c r="C142" s="13"/>
      <c r="D142" s="13"/>
      <c r="E142" s="13"/>
      <c r="F142" s="17"/>
      <c r="G142" s="13"/>
      <c r="H142" s="18"/>
      <c r="I142" s="13"/>
      <c r="J142" s="18"/>
      <c r="K142" s="13"/>
      <c r="L142" s="18"/>
      <c r="M142" s="19" t="str">
        <f aca="false">IF(COUNT(H142,J142,L142)=0,"",MIN(H142,J142,L142))</f>
        <v/>
      </c>
      <c r="N142" s="14" t="str">
        <f aca="false">IF(M142="","",IF(H142=M142,G142,IF(J142=M142,I142,K142)))</f>
        <v/>
      </c>
      <c r="O142" s="19" t="str">
        <f aca="false">IF(M142="","",M142*F142)</f>
        <v/>
      </c>
      <c r="P142" s="18"/>
      <c r="Q142" s="18"/>
      <c r="R142" s="19" t="str">
        <f aca="false">IF(OR(P142="",Q142=""),"",P142-Q142)</f>
        <v/>
      </c>
      <c r="S142" s="19" t="str">
        <f aca="false">IF(R142="","",R142*F142)</f>
        <v/>
      </c>
      <c r="T142" s="20" t="str">
        <f aca="false">IF(OR(R142="",P142=0),"",R142/P142)</f>
        <v/>
      </c>
      <c r="U142" s="13"/>
    </row>
    <row r="143" customFormat="false" ht="15" hidden="false" customHeight="false" outlineLevel="0" collapsed="false">
      <c r="A143" s="13"/>
      <c r="B143" s="16"/>
      <c r="C143" s="13"/>
      <c r="D143" s="13"/>
      <c r="E143" s="13"/>
      <c r="F143" s="17"/>
      <c r="G143" s="13"/>
      <c r="H143" s="18"/>
      <c r="I143" s="13"/>
      <c r="J143" s="18"/>
      <c r="K143" s="13"/>
      <c r="L143" s="18"/>
      <c r="M143" s="19" t="str">
        <f aca="false">IF(COUNT(H143,J143,L143)=0,"",MIN(H143,J143,L143))</f>
        <v/>
      </c>
      <c r="N143" s="14" t="str">
        <f aca="false">IF(M143="","",IF(H143=M143,G143,IF(J143=M143,I143,K143)))</f>
        <v/>
      </c>
      <c r="O143" s="19" t="str">
        <f aca="false">IF(M143="","",M143*F143)</f>
        <v/>
      </c>
      <c r="P143" s="18"/>
      <c r="Q143" s="18"/>
      <c r="R143" s="19" t="str">
        <f aca="false">IF(OR(P143="",Q143=""),"",P143-Q143)</f>
        <v/>
      </c>
      <c r="S143" s="19" t="str">
        <f aca="false">IF(R143="","",R143*F143)</f>
        <v/>
      </c>
      <c r="T143" s="20" t="str">
        <f aca="false">IF(OR(R143="",P143=0),"",R143/P143)</f>
        <v/>
      </c>
      <c r="U143" s="13"/>
    </row>
    <row r="144" customFormat="false" ht="15" hidden="false" customHeight="false" outlineLevel="0" collapsed="false">
      <c r="A144" s="13"/>
      <c r="B144" s="16"/>
      <c r="C144" s="13"/>
      <c r="D144" s="13"/>
      <c r="E144" s="13"/>
      <c r="F144" s="17"/>
      <c r="G144" s="13"/>
      <c r="H144" s="18"/>
      <c r="I144" s="13"/>
      <c r="J144" s="18"/>
      <c r="K144" s="13"/>
      <c r="L144" s="18"/>
      <c r="M144" s="19" t="str">
        <f aca="false">IF(COUNT(H144,J144,L144)=0,"",MIN(H144,J144,L144))</f>
        <v/>
      </c>
      <c r="N144" s="14" t="str">
        <f aca="false">IF(M144="","",IF(H144=M144,G144,IF(J144=M144,I144,K144)))</f>
        <v/>
      </c>
      <c r="O144" s="19" t="str">
        <f aca="false">IF(M144="","",M144*F144)</f>
        <v/>
      </c>
      <c r="P144" s="18"/>
      <c r="Q144" s="18"/>
      <c r="R144" s="19" t="str">
        <f aca="false">IF(OR(P144="",Q144=""),"",P144-Q144)</f>
        <v/>
      </c>
      <c r="S144" s="19" t="str">
        <f aca="false">IF(R144="","",R144*F144)</f>
        <v/>
      </c>
      <c r="T144" s="20" t="str">
        <f aca="false">IF(OR(R144="",P144=0),"",R144/P144)</f>
        <v/>
      </c>
      <c r="U144" s="13"/>
    </row>
    <row r="145" customFormat="false" ht="15" hidden="false" customHeight="false" outlineLevel="0" collapsed="false">
      <c r="A145" s="13"/>
      <c r="B145" s="16"/>
      <c r="C145" s="13"/>
      <c r="D145" s="13"/>
      <c r="E145" s="13"/>
      <c r="F145" s="17"/>
      <c r="G145" s="13"/>
      <c r="H145" s="18"/>
      <c r="I145" s="13"/>
      <c r="J145" s="18"/>
      <c r="K145" s="13"/>
      <c r="L145" s="18"/>
      <c r="M145" s="19" t="str">
        <f aca="false">IF(COUNT(H145,J145,L145)=0,"",MIN(H145,J145,L145))</f>
        <v/>
      </c>
      <c r="N145" s="14" t="str">
        <f aca="false">IF(M145="","",IF(H145=M145,G145,IF(J145=M145,I145,K145)))</f>
        <v/>
      </c>
      <c r="O145" s="19" t="str">
        <f aca="false">IF(M145="","",M145*F145)</f>
        <v/>
      </c>
      <c r="P145" s="18"/>
      <c r="Q145" s="18"/>
      <c r="R145" s="19" t="str">
        <f aca="false">IF(OR(P145="",Q145=""),"",P145-Q145)</f>
        <v/>
      </c>
      <c r="S145" s="19" t="str">
        <f aca="false">IF(R145="","",R145*F145)</f>
        <v/>
      </c>
      <c r="T145" s="20" t="str">
        <f aca="false">IF(OR(R145="",P145=0),"",R145/P145)</f>
        <v/>
      </c>
      <c r="U145" s="13"/>
    </row>
    <row r="146" customFormat="false" ht="15" hidden="false" customHeight="false" outlineLevel="0" collapsed="false">
      <c r="A146" s="13"/>
      <c r="B146" s="16"/>
      <c r="C146" s="13"/>
      <c r="D146" s="13"/>
      <c r="E146" s="13"/>
      <c r="F146" s="17"/>
      <c r="G146" s="13"/>
      <c r="H146" s="18"/>
      <c r="I146" s="13"/>
      <c r="J146" s="18"/>
      <c r="K146" s="13"/>
      <c r="L146" s="18"/>
      <c r="M146" s="19" t="str">
        <f aca="false">IF(COUNT(H146,J146,L146)=0,"",MIN(H146,J146,L146))</f>
        <v/>
      </c>
      <c r="N146" s="14" t="str">
        <f aca="false">IF(M146="","",IF(H146=M146,G146,IF(J146=M146,I146,K146)))</f>
        <v/>
      </c>
      <c r="O146" s="19" t="str">
        <f aca="false">IF(M146="","",M146*F146)</f>
        <v/>
      </c>
      <c r="P146" s="18"/>
      <c r="Q146" s="18"/>
      <c r="R146" s="19" t="str">
        <f aca="false">IF(OR(P146="",Q146=""),"",P146-Q146)</f>
        <v/>
      </c>
      <c r="S146" s="19" t="str">
        <f aca="false">IF(R146="","",R146*F146)</f>
        <v/>
      </c>
      <c r="T146" s="20" t="str">
        <f aca="false">IF(OR(R146="",P146=0),"",R146/P146)</f>
        <v/>
      </c>
      <c r="U146" s="13"/>
    </row>
    <row r="147" customFormat="false" ht="15" hidden="false" customHeight="false" outlineLevel="0" collapsed="false">
      <c r="A147" s="13"/>
      <c r="B147" s="16"/>
      <c r="C147" s="13"/>
      <c r="D147" s="13"/>
      <c r="E147" s="13"/>
      <c r="F147" s="17"/>
      <c r="G147" s="13"/>
      <c r="H147" s="18"/>
      <c r="I147" s="13"/>
      <c r="J147" s="18"/>
      <c r="K147" s="13"/>
      <c r="L147" s="18"/>
      <c r="M147" s="19" t="str">
        <f aca="false">IF(COUNT(H147,J147,L147)=0,"",MIN(H147,J147,L147))</f>
        <v/>
      </c>
      <c r="N147" s="14" t="str">
        <f aca="false">IF(M147="","",IF(H147=M147,G147,IF(J147=M147,I147,K147)))</f>
        <v/>
      </c>
      <c r="O147" s="19" t="str">
        <f aca="false">IF(M147="","",M147*F147)</f>
        <v/>
      </c>
      <c r="P147" s="18"/>
      <c r="Q147" s="18"/>
      <c r="R147" s="19" t="str">
        <f aca="false">IF(OR(P147="",Q147=""),"",P147-Q147)</f>
        <v/>
      </c>
      <c r="S147" s="19" t="str">
        <f aca="false">IF(R147="","",R147*F147)</f>
        <v/>
      </c>
      <c r="T147" s="20" t="str">
        <f aca="false">IF(OR(R147="",P147=0),"",R147/P147)</f>
        <v/>
      </c>
      <c r="U147" s="13"/>
    </row>
    <row r="148" customFormat="false" ht="15" hidden="false" customHeight="false" outlineLevel="0" collapsed="false">
      <c r="A148" s="13"/>
      <c r="B148" s="16"/>
      <c r="C148" s="13"/>
      <c r="D148" s="13"/>
      <c r="E148" s="13"/>
      <c r="F148" s="17"/>
      <c r="G148" s="13"/>
      <c r="H148" s="18"/>
      <c r="I148" s="13"/>
      <c r="J148" s="18"/>
      <c r="K148" s="13"/>
      <c r="L148" s="18"/>
      <c r="M148" s="19" t="str">
        <f aca="false">IF(COUNT(H148,J148,L148)=0,"",MIN(H148,J148,L148))</f>
        <v/>
      </c>
      <c r="N148" s="14" t="str">
        <f aca="false">IF(M148="","",IF(H148=M148,G148,IF(J148=M148,I148,K148)))</f>
        <v/>
      </c>
      <c r="O148" s="19" t="str">
        <f aca="false">IF(M148="","",M148*F148)</f>
        <v/>
      </c>
      <c r="P148" s="18"/>
      <c r="Q148" s="18"/>
      <c r="R148" s="19" t="str">
        <f aca="false">IF(OR(P148="",Q148=""),"",P148-Q148)</f>
        <v/>
      </c>
      <c r="S148" s="19" t="str">
        <f aca="false">IF(R148="","",R148*F148)</f>
        <v/>
      </c>
      <c r="T148" s="20" t="str">
        <f aca="false">IF(OR(R148="",P148=0),"",R148/P148)</f>
        <v/>
      </c>
      <c r="U148" s="13"/>
    </row>
    <row r="149" customFormat="false" ht="15" hidden="false" customHeight="false" outlineLevel="0" collapsed="false">
      <c r="A149" s="13"/>
      <c r="B149" s="16"/>
      <c r="C149" s="13"/>
      <c r="D149" s="13"/>
      <c r="E149" s="13"/>
      <c r="F149" s="17"/>
      <c r="G149" s="13"/>
      <c r="H149" s="18"/>
      <c r="I149" s="13"/>
      <c r="J149" s="18"/>
      <c r="K149" s="13"/>
      <c r="L149" s="18"/>
      <c r="M149" s="19" t="str">
        <f aca="false">IF(COUNT(H149,J149,L149)=0,"",MIN(H149,J149,L149))</f>
        <v/>
      </c>
      <c r="N149" s="14" t="str">
        <f aca="false">IF(M149="","",IF(H149=M149,G149,IF(J149=M149,I149,K149)))</f>
        <v/>
      </c>
      <c r="O149" s="19" t="str">
        <f aca="false">IF(M149="","",M149*F149)</f>
        <v/>
      </c>
      <c r="P149" s="18"/>
      <c r="Q149" s="18"/>
      <c r="R149" s="19" t="str">
        <f aca="false">IF(OR(P149="",Q149=""),"",P149-Q149)</f>
        <v/>
      </c>
      <c r="S149" s="19" t="str">
        <f aca="false">IF(R149="","",R149*F149)</f>
        <v/>
      </c>
      <c r="T149" s="20" t="str">
        <f aca="false">IF(OR(R149="",P149=0),"",R149/P149)</f>
        <v/>
      </c>
      <c r="U149" s="13"/>
    </row>
    <row r="150" customFormat="false" ht="15" hidden="false" customHeight="false" outlineLevel="0" collapsed="false">
      <c r="A150" s="13"/>
      <c r="B150" s="16"/>
      <c r="C150" s="13"/>
      <c r="D150" s="13"/>
      <c r="E150" s="13"/>
      <c r="F150" s="17"/>
      <c r="G150" s="13"/>
      <c r="H150" s="18"/>
      <c r="I150" s="13"/>
      <c r="J150" s="18"/>
      <c r="K150" s="13"/>
      <c r="L150" s="18"/>
      <c r="M150" s="19" t="str">
        <f aca="false">IF(COUNT(H150,J150,L150)=0,"",MIN(H150,J150,L150))</f>
        <v/>
      </c>
      <c r="N150" s="14" t="str">
        <f aca="false">IF(M150="","",IF(H150=M150,G150,IF(J150=M150,I150,K150)))</f>
        <v/>
      </c>
      <c r="O150" s="19" t="str">
        <f aca="false">IF(M150="","",M150*F150)</f>
        <v/>
      </c>
      <c r="P150" s="18"/>
      <c r="Q150" s="18"/>
      <c r="R150" s="19" t="str">
        <f aca="false">IF(OR(P150="",Q150=""),"",P150-Q150)</f>
        <v/>
      </c>
      <c r="S150" s="19" t="str">
        <f aca="false">IF(R150="","",R150*F150)</f>
        <v/>
      </c>
      <c r="T150" s="20" t="str">
        <f aca="false">IF(OR(R150="",P150=0),"",R150/P150)</f>
        <v/>
      </c>
      <c r="U150" s="13"/>
    </row>
    <row r="151" customFormat="false" ht="15" hidden="false" customHeight="false" outlineLevel="0" collapsed="false">
      <c r="A151" s="13"/>
      <c r="B151" s="16"/>
      <c r="C151" s="13"/>
      <c r="D151" s="13"/>
      <c r="E151" s="13"/>
      <c r="F151" s="17"/>
      <c r="G151" s="13"/>
      <c r="H151" s="18"/>
      <c r="I151" s="13"/>
      <c r="J151" s="18"/>
      <c r="K151" s="13"/>
      <c r="L151" s="18"/>
      <c r="M151" s="19" t="str">
        <f aca="false">IF(COUNT(H151,J151,L151)=0,"",MIN(H151,J151,L151))</f>
        <v/>
      </c>
      <c r="N151" s="14" t="str">
        <f aca="false">IF(M151="","",IF(H151=M151,G151,IF(J151=M151,I151,K151)))</f>
        <v/>
      </c>
      <c r="O151" s="19" t="str">
        <f aca="false">IF(M151="","",M151*F151)</f>
        <v/>
      </c>
      <c r="P151" s="18"/>
      <c r="Q151" s="18"/>
      <c r="R151" s="19" t="str">
        <f aca="false">IF(OR(P151="",Q151=""),"",P151-Q151)</f>
        <v/>
      </c>
      <c r="S151" s="19" t="str">
        <f aca="false">IF(R151="","",R151*F151)</f>
        <v/>
      </c>
      <c r="T151" s="20" t="str">
        <f aca="false">IF(OR(R151="",P151=0),"",R151/P151)</f>
        <v/>
      </c>
      <c r="U151" s="13"/>
    </row>
    <row r="152" customFormat="false" ht="15" hidden="false" customHeight="false" outlineLevel="0" collapsed="false">
      <c r="A152" s="13"/>
      <c r="B152" s="16"/>
      <c r="C152" s="13"/>
      <c r="D152" s="13"/>
      <c r="E152" s="13"/>
      <c r="F152" s="17"/>
      <c r="G152" s="13"/>
      <c r="H152" s="18"/>
      <c r="I152" s="13"/>
      <c r="J152" s="18"/>
      <c r="K152" s="13"/>
      <c r="L152" s="18"/>
      <c r="M152" s="19" t="str">
        <f aca="false">IF(COUNT(H152,J152,L152)=0,"",MIN(H152,J152,L152))</f>
        <v/>
      </c>
      <c r="N152" s="14" t="str">
        <f aca="false">IF(M152="","",IF(H152=M152,G152,IF(J152=M152,I152,K152)))</f>
        <v/>
      </c>
      <c r="O152" s="19" t="str">
        <f aca="false">IF(M152="","",M152*F152)</f>
        <v/>
      </c>
      <c r="P152" s="18"/>
      <c r="Q152" s="18"/>
      <c r="R152" s="19" t="str">
        <f aca="false">IF(OR(P152="",Q152=""),"",P152-Q152)</f>
        <v/>
      </c>
      <c r="S152" s="19" t="str">
        <f aca="false">IF(R152="","",R152*F152)</f>
        <v/>
      </c>
      <c r="T152" s="20" t="str">
        <f aca="false">IF(OR(R152="",P152=0),"",R152/P152)</f>
        <v/>
      </c>
      <c r="U152" s="13"/>
    </row>
    <row r="153" customFormat="false" ht="15" hidden="false" customHeight="false" outlineLevel="0" collapsed="false">
      <c r="A153" s="13"/>
      <c r="B153" s="16"/>
      <c r="C153" s="13"/>
      <c r="D153" s="13"/>
      <c r="E153" s="13"/>
      <c r="F153" s="17"/>
      <c r="G153" s="13"/>
      <c r="H153" s="18"/>
      <c r="I153" s="13"/>
      <c r="J153" s="18"/>
      <c r="K153" s="13"/>
      <c r="L153" s="18"/>
      <c r="M153" s="19" t="str">
        <f aca="false">IF(COUNT(H153,J153,L153)=0,"",MIN(H153,J153,L153))</f>
        <v/>
      </c>
      <c r="N153" s="14" t="str">
        <f aca="false">IF(M153="","",IF(H153=M153,G153,IF(J153=M153,I153,K153)))</f>
        <v/>
      </c>
      <c r="O153" s="19" t="str">
        <f aca="false">IF(M153="","",M153*F153)</f>
        <v/>
      </c>
      <c r="P153" s="18"/>
      <c r="Q153" s="18"/>
      <c r="R153" s="19" t="str">
        <f aca="false">IF(OR(P153="",Q153=""),"",P153-Q153)</f>
        <v/>
      </c>
      <c r="S153" s="19" t="str">
        <f aca="false">IF(R153="","",R153*F153)</f>
        <v/>
      </c>
      <c r="T153" s="20" t="str">
        <f aca="false">IF(OR(R153="",P153=0),"",R153/P153)</f>
        <v/>
      </c>
      <c r="U153" s="13"/>
    </row>
    <row r="154" customFormat="false" ht="15" hidden="false" customHeight="false" outlineLevel="0" collapsed="false">
      <c r="A154" s="13"/>
      <c r="B154" s="16"/>
      <c r="C154" s="13"/>
      <c r="D154" s="13"/>
      <c r="E154" s="13"/>
      <c r="F154" s="17"/>
      <c r="G154" s="13"/>
      <c r="H154" s="18"/>
      <c r="I154" s="13"/>
      <c r="J154" s="18"/>
      <c r="K154" s="13"/>
      <c r="L154" s="18"/>
      <c r="M154" s="19" t="str">
        <f aca="false">IF(COUNT(H154,J154,L154)=0,"",MIN(H154,J154,L154))</f>
        <v/>
      </c>
      <c r="N154" s="14" t="str">
        <f aca="false">IF(M154="","",IF(H154=M154,G154,IF(J154=M154,I154,K154)))</f>
        <v/>
      </c>
      <c r="O154" s="19" t="str">
        <f aca="false">IF(M154="","",M154*F154)</f>
        <v/>
      </c>
      <c r="P154" s="18"/>
      <c r="Q154" s="18"/>
      <c r="R154" s="19" t="str">
        <f aca="false">IF(OR(P154="",Q154=""),"",P154-Q154)</f>
        <v/>
      </c>
      <c r="S154" s="19" t="str">
        <f aca="false">IF(R154="","",R154*F154)</f>
        <v/>
      </c>
      <c r="T154" s="20" t="str">
        <f aca="false">IF(OR(R154="",P154=0),"",R154/P154)</f>
        <v/>
      </c>
      <c r="U154" s="13"/>
    </row>
    <row r="155" customFormat="false" ht="15" hidden="false" customHeight="false" outlineLevel="0" collapsed="false">
      <c r="A155" s="13"/>
      <c r="B155" s="16"/>
      <c r="C155" s="13"/>
      <c r="D155" s="13"/>
      <c r="E155" s="13"/>
      <c r="F155" s="17"/>
      <c r="G155" s="13"/>
      <c r="H155" s="18"/>
      <c r="I155" s="13"/>
      <c r="J155" s="18"/>
      <c r="K155" s="13"/>
      <c r="L155" s="18"/>
      <c r="M155" s="19" t="str">
        <f aca="false">IF(COUNT(H155,J155,L155)=0,"",MIN(H155,J155,L155))</f>
        <v/>
      </c>
      <c r="N155" s="14" t="str">
        <f aca="false">IF(M155="","",IF(H155=M155,G155,IF(J155=M155,I155,K155)))</f>
        <v/>
      </c>
      <c r="O155" s="19" t="str">
        <f aca="false">IF(M155="","",M155*F155)</f>
        <v/>
      </c>
      <c r="P155" s="18"/>
      <c r="Q155" s="18"/>
      <c r="R155" s="19" t="str">
        <f aca="false">IF(OR(P155="",Q155=""),"",P155-Q155)</f>
        <v/>
      </c>
      <c r="S155" s="19" t="str">
        <f aca="false">IF(R155="","",R155*F155)</f>
        <v/>
      </c>
      <c r="T155" s="20" t="str">
        <f aca="false">IF(OR(R155="",P155=0),"",R155/P155)</f>
        <v/>
      </c>
      <c r="U155" s="13"/>
    </row>
    <row r="156" customFormat="false" ht="15" hidden="false" customHeight="false" outlineLevel="0" collapsed="false">
      <c r="A156" s="13"/>
      <c r="B156" s="16"/>
      <c r="C156" s="13"/>
      <c r="D156" s="13"/>
      <c r="E156" s="13"/>
      <c r="F156" s="17"/>
      <c r="G156" s="13"/>
      <c r="H156" s="18"/>
      <c r="I156" s="13"/>
      <c r="J156" s="18"/>
      <c r="K156" s="13"/>
      <c r="L156" s="18"/>
      <c r="M156" s="19" t="str">
        <f aca="false">IF(COUNT(H156,J156,L156)=0,"",MIN(H156,J156,L156))</f>
        <v/>
      </c>
      <c r="N156" s="14" t="str">
        <f aca="false">IF(M156="","",IF(H156=M156,G156,IF(J156=M156,I156,K156)))</f>
        <v/>
      </c>
      <c r="O156" s="19" t="str">
        <f aca="false">IF(M156="","",M156*F156)</f>
        <v/>
      </c>
      <c r="P156" s="18"/>
      <c r="Q156" s="18"/>
      <c r="R156" s="19" t="str">
        <f aca="false">IF(OR(P156="",Q156=""),"",P156-Q156)</f>
        <v/>
      </c>
      <c r="S156" s="19" t="str">
        <f aca="false">IF(R156="","",R156*F156)</f>
        <v/>
      </c>
      <c r="T156" s="20" t="str">
        <f aca="false">IF(OR(R156="",P156=0),"",R156/P156)</f>
        <v/>
      </c>
      <c r="U156" s="13"/>
    </row>
    <row r="157" customFormat="false" ht="15" hidden="false" customHeight="false" outlineLevel="0" collapsed="false">
      <c r="A157" s="13"/>
      <c r="B157" s="16"/>
      <c r="C157" s="13"/>
      <c r="D157" s="13"/>
      <c r="E157" s="13"/>
      <c r="F157" s="17"/>
      <c r="G157" s="13"/>
      <c r="H157" s="18"/>
      <c r="I157" s="13"/>
      <c r="J157" s="18"/>
      <c r="K157" s="13"/>
      <c r="L157" s="18"/>
      <c r="M157" s="19" t="str">
        <f aca="false">IF(COUNT(H157,J157,L157)=0,"",MIN(H157,J157,L157))</f>
        <v/>
      </c>
      <c r="N157" s="14" t="str">
        <f aca="false">IF(M157="","",IF(H157=M157,G157,IF(J157=M157,I157,K157)))</f>
        <v/>
      </c>
      <c r="O157" s="19" t="str">
        <f aca="false">IF(M157="","",M157*F157)</f>
        <v/>
      </c>
      <c r="P157" s="18"/>
      <c r="Q157" s="18"/>
      <c r="R157" s="19" t="str">
        <f aca="false">IF(OR(P157="",Q157=""),"",P157-Q157)</f>
        <v/>
      </c>
      <c r="S157" s="19" t="str">
        <f aca="false">IF(R157="","",R157*F157)</f>
        <v/>
      </c>
      <c r="T157" s="20" t="str">
        <f aca="false">IF(OR(R157="",P157=0),"",R157/P157)</f>
        <v/>
      </c>
      <c r="U157" s="13"/>
    </row>
    <row r="158" customFormat="false" ht="15" hidden="false" customHeight="false" outlineLevel="0" collapsed="false">
      <c r="A158" s="13"/>
      <c r="B158" s="16"/>
      <c r="C158" s="13"/>
      <c r="D158" s="13"/>
      <c r="E158" s="13"/>
      <c r="F158" s="17"/>
      <c r="G158" s="13"/>
      <c r="H158" s="18"/>
      <c r="I158" s="13"/>
      <c r="J158" s="18"/>
      <c r="K158" s="13"/>
      <c r="L158" s="18"/>
      <c r="M158" s="19" t="str">
        <f aca="false">IF(COUNT(H158,J158,L158)=0,"",MIN(H158,J158,L158))</f>
        <v/>
      </c>
      <c r="N158" s="14" t="str">
        <f aca="false">IF(M158="","",IF(H158=M158,G158,IF(J158=M158,I158,K158)))</f>
        <v/>
      </c>
      <c r="O158" s="19" t="str">
        <f aca="false">IF(M158="","",M158*F158)</f>
        <v/>
      </c>
      <c r="P158" s="18"/>
      <c r="Q158" s="18"/>
      <c r="R158" s="19" t="str">
        <f aca="false">IF(OR(P158="",Q158=""),"",P158-Q158)</f>
        <v/>
      </c>
      <c r="S158" s="19" t="str">
        <f aca="false">IF(R158="","",R158*F158)</f>
        <v/>
      </c>
      <c r="T158" s="20" t="str">
        <f aca="false">IF(OR(R158="",P158=0),"",R158/P158)</f>
        <v/>
      </c>
      <c r="U158" s="13"/>
    </row>
    <row r="159" customFormat="false" ht="15" hidden="false" customHeight="false" outlineLevel="0" collapsed="false">
      <c r="A159" s="13"/>
      <c r="B159" s="16"/>
      <c r="C159" s="13"/>
      <c r="D159" s="13"/>
      <c r="E159" s="13"/>
      <c r="F159" s="17"/>
      <c r="G159" s="13"/>
      <c r="H159" s="18"/>
      <c r="I159" s="13"/>
      <c r="J159" s="18"/>
      <c r="K159" s="13"/>
      <c r="L159" s="18"/>
      <c r="M159" s="19" t="str">
        <f aca="false">IF(COUNT(H159,J159,L159)=0,"",MIN(H159,J159,L159))</f>
        <v/>
      </c>
      <c r="N159" s="14" t="str">
        <f aca="false">IF(M159="","",IF(H159=M159,G159,IF(J159=M159,I159,K159)))</f>
        <v/>
      </c>
      <c r="O159" s="19" t="str">
        <f aca="false">IF(M159="","",M159*F159)</f>
        <v/>
      </c>
      <c r="P159" s="18"/>
      <c r="Q159" s="18"/>
      <c r="R159" s="19" t="str">
        <f aca="false">IF(OR(P159="",Q159=""),"",P159-Q159)</f>
        <v/>
      </c>
      <c r="S159" s="19" t="str">
        <f aca="false">IF(R159="","",R159*F159)</f>
        <v/>
      </c>
      <c r="T159" s="20" t="str">
        <f aca="false">IF(OR(R159="",P159=0),"",R159/P159)</f>
        <v/>
      </c>
      <c r="U159" s="13"/>
    </row>
    <row r="160" customFormat="false" ht="15" hidden="false" customHeight="false" outlineLevel="0" collapsed="false">
      <c r="A160" s="13"/>
      <c r="B160" s="16"/>
      <c r="C160" s="13"/>
      <c r="D160" s="13"/>
      <c r="E160" s="13"/>
      <c r="F160" s="17"/>
      <c r="G160" s="13"/>
      <c r="H160" s="18"/>
      <c r="I160" s="13"/>
      <c r="J160" s="18"/>
      <c r="K160" s="13"/>
      <c r="L160" s="18"/>
      <c r="M160" s="19" t="str">
        <f aca="false">IF(COUNT(H160,J160,L160)=0,"",MIN(H160,J160,L160))</f>
        <v/>
      </c>
      <c r="N160" s="14" t="str">
        <f aca="false">IF(M160="","",IF(H160=M160,G160,IF(J160=M160,I160,K160)))</f>
        <v/>
      </c>
      <c r="O160" s="19" t="str">
        <f aca="false">IF(M160="","",M160*F160)</f>
        <v/>
      </c>
      <c r="P160" s="18"/>
      <c r="Q160" s="18"/>
      <c r="R160" s="19" t="str">
        <f aca="false">IF(OR(P160="",Q160=""),"",P160-Q160)</f>
        <v/>
      </c>
      <c r="S160" s="19" t="str">
        <f aca="false">IF(R160="","",R160*F160)</f>
        <v/>
      </c>
      <c r="T160" s="20" t="str">
        <f aca="false">IF(OR(R160="",P160=0),"",R160/P160)</f>
        <v/>
      </c>
      <c r="U160" s="13"/>
    </row>
    <row r="161" customFormat="false" ht="15" hidden="false" customHeight="false" outlineLevel="0" collapsed="false">
      <c r="A161" s="13"/>
      <c r="B161" s="16"/>
      <c r="C161" s="13"/>
      <c r="D161" s="13"/>
      <c r="E161" s="13"/>
      <c r="F161" s="17"/>
      <c r="G161" s="13"/>
      <c r="H161" s="18"/>
      <c r="I161" s="13"/>
      <c r="J161" s="18"/>
      <c r="K161" s="13"/>
      <c r="L161" s="18"/>
      <c r="M161" s="19" t="str">
        <f aca="false">IF(COUNT(H161,J161,L161)=0,"",MIN(H161,J161,L161))</f>
        <v/>
      </c>
      <c r="N161" s="14" t="str">
        <f aca="false">IF(M161="","",IF(H161=M161,G161,IF(J161=M161,I161,K161)))</f>
        <v/>
      </c>
      <c r="O161" s="19" t="str">
        <f aca="false">IF(M161="","",M161*F161)</f>
        <v/>
      </c>
      <c r="P161" s="18"/>
      <c r="Q161" s="18"/>
      <c r="R161" s="19" t="str">
        <f aca="false">IF(OR(P161="",Q161=""),"",P161-Q161)</f>
        <v/>
      </c>
      <c r="S161" s="19" t="str">
        <f aca="false">IF(R161="","",R161*F161)</f>
        <v/>
      </c>
      <c r="T161" s="20" t="str">
        <f aca="false">IF(OR(R161="",P161=0),"",R161/P161)</f>
        <v/>
      </c>
      <c r="U161" s="13"/>
    </row>
    <row r="162" customFormat="false" ht="15" hidden="false" customHeight="false" outlineLevel="0" collapsed="false">
      <c r="A162" s="13"/>
      <c r="B162" s="16"/>
      <c r="C162" s="13"/>
      <c r="D162" s="13"/>
      <c r="E162" s="13"/>
      <c r="F162" s="17"/>
      <c r="G162" s="13"/>
      <c r="H162" s="18"/>
      <c r="I162" s="13"/>
      <c r="J162" s="18"/>
      <c r="K162" s="13"/>
      <c r="L162" s="18"/>
      <c r="M162" s="19" t="str">
        <f aca="false">IF(COUNT(H162,J162,L162)=0,"",MIN(H162,J162,L162))</f>
        <v/>
      </c>
      <c r="N162" s="14" t="str">
        <f aca="false">IF(M162="","",IF(H162=M162,G162,IF(J162=M162,I162,K162)))</f>
        <v/>
      </c>
      <c r="O162" s="19" t="str">
        <f aca="false">IF(M162="","",M162*F162)</f>
        <v/>
      </c>
      <c r="P162" s="18"/>
      <c r="Q162" s="18"/>
      <c r="R162" s="19" t="str">
        <f aca="false">IF(OR(P162="",Q162=""),"",P162-Q162)</f>
        <v/>
      </c>
      <c r="S162" s="19" t="str">
        <f aca="false">IF(R162="","",R162*F162)</f>
        <v/>
      </c>
      <c r="T162" s="20" t="str">
        <f aca="false">IF(OR(R162="",P162=0),"",R162/P162)</f>
        <v/>
      </c>
      <c r="U162" s="13"/>
    </row>
    <row r="163" customFormat="false" ht="15" hidden="false" customHeight="false" outlineLevel="0" collapsed="false">
      <c r="A163" s="13"/>
      <c r="B163" s="16"/>
      <c r="C163" s="13"/>
      <c r="D163" s="13"/>
      <c r="E163" s="13"/>
      <c r="F163" s="17"/>
      <c r="G163" s="13"/>
      <c r="H163" s="18"/>
      <c r="I163" s="13"/>
      <c r="J163" s="18"/>
      <c r="K163" s="13"/>
      <c r="L163" s="18"/>
      <c r="M163" s="19" t="str">
        <f aca="false">IF(COUNT(H163,J163,L163)=0,"",MIN(H163,J163,L163))</f>
        <v/>
      </c>
      <c r="N163" s="14" t="str">
        <f aca="false">IF(M163="","",IF(H163=M163,G163,IF(J163=M163,I163,K163)))</f>
        <v/>
      </c>
      <c r="O163" s="19" t="str">
        <f aca="false">IF(M163="","",M163*F163)</f>
        <v/>
      </c>
      <c r="P163" s="18"/>
      <c r="Q163" s="18"/>
      <c r="R163" s="19" t="str">
        <f aca="false">IF(OR(P163="",Q163=""),"",P163-Q163)</f>
        <v/>
      </c>
      <c r="S163" s="19" t="str">
        <f aca="false">IF(R163="","",R163*F163)</f>
        <v/>
      </c>
      <c r="T163" s="20" t="str">
        <f aca="false">IF(OR(R163="",P163=0),"",R163/P163)</f>
        <v/>
      </c>
      <c r="U163" s="13"/>
    </row>
    <row r="164" customFormat="false" ht="15" hidden="false" customHeight="false" outlineLevel="0" collapsed="false">
      <c r="A164" s="13"/>
      <c r="B164" s="16"/>
      <c r="C164" s="13"/>
      <c r="D164" s="13"/>
      <c r="E164" s="13"/>
      <c r="F164" s="17"/>
      <c r="G164" s="13"/>
      <c r="H164" s="18"/>
      <c r="I164" s="13"/>
      <c r="J164" s="18"/>
      <c r="K164" s="13"/>
      <c r="L164" s="18"/>
      <c r="M164" s="19" t="str">
        <f aca="false">IF(COUNT(H164,J164,L164)=0,"",MIN(H164,J164,L164))</f>
        <v/>
      </c>
      <c r="N164" s="14" t="str">
        <f aca="false">IF(M164="","",IF(H164=M164,G164,IF(J164=M164,I164,K164)))</f>
        <v/>
      </c>
      <c r="O164" s="19" t="str">
        <f aca="false">IF(M164="","",M164*F164)</f>
        <v/>
      </c>
      <c r="P164" s="18"/>
      <c r="Q164" s="18"/>
      <c r="R164" s="19" t="str">
        <f aca="false">IF(OR(P164="",Q164=""),"",P164-Q164)</f>
        <v/>
      </c>
      <c r="S164" s="19" t="str">
        <f aca="false">IF(R164="","",R164*F164)</f>
        <v/>
      </c>
      <c r="T164" s="20" t="str">
        <f aca="false">IF(OR(R164="",P164=0),"",R164/P164)</f>
        <v/>
      </c>
      <c r="U164" s="13"/>
    </row>
    <row r="165" customFormat="false" ht="15" hidden="false" customHeight="false" outlineLevel="0" collapsed="false">
      <c r="A165" s="13"/>
      <c r="B165" s="16"/>
      <c r="C165" s="13"/>
      <c r="D165" s="13"/>
      <c r="E165" s="13"/>
      <c r="F165" s="17"/>
      <c r="G165" s="13"/>
      <c r="H165" s="18"/>
      <c r="I165" s="13"/>
      <c r="J165" s="18"/>
      <c r="K165" s="13"/>
      <c r="L165" s="18"/>
      <c r="M165" s="19" t="str">
        <f aca="false">IF(COUNT(H165,J165,L165)=0,"",MIN(H165,J165,L165))</f>
        <v/>
      </c>
      <c r="N165" s="14" t="str">
        <f aca="false">IF(M165="","",IF(H165=M165,G165,IF(J165=M165,I165,K165)))</f>
        <v/>
      </c>
      <c r="O165" s="19" t="str">
        <f aca="false">IF(M165="","",M165*F165)</f>
        <v/>
      </c>
      <c r="P165" s="18"/>
      <c r="Q165" s="18"/>
      <c r="R165" s="19" t="str">
        <f aca="false">IF(OR(P165="",Q165=""),"",P165-Q165)</f>
        <v/>
      </c>
      <c r="S165" s="19" t="str">
        <f aca="false">IF(R165="","",R165*F165)</f>
        <v/>
      </c>
      <c r="T165" s="20" t="str">
        <f aca="false">IF(OR(R165="",P165=0),"",R165/P165)</f>
        <v/>
      </c>
      <c r="U165" s="13"/>
    </row>
    <row r="166" customFormat="false" ht="15" hidden="false" customHeight="false" outlineLevel="0" collapsed="false">
      <c r="A166" s="13"/>
      <c r="B166" s="16"/>
      <c r="C166" s="13"/>
      <c r="D166" s="13"/>
      <c r="E166" s="13"/>
      <c r="F166" s="17"/>
      <c r="G166" s="13"/>
      <c r="H166" s="18"/>
      <c r="I166" s="13"/>
      <c r="J166" s="18"/>
      <c r="K166" s="13"/>
      <c r="L166" s="18"/>
      <c r="M166" s="19" t="str">
        <f aca="false">IF(COUNT(H166,J166,L166)=0,"",MIN(H166,J166,L166))</f>
        <v/>
      </c>
      <c r="N166" s="14" t="str">
        <f aca="false">IF(M166="","",IF(H166=M166,G166,IF(J166=M166,I166,K166)))</f>
        <v/>
      </c>
      <c r="O166" s="19" t="str">
        <f aca="false">IF(M166="","",M166*F166)</f>
        <v/>
      </c>
      <c r="P166" s="18"/>
      <c r="Q166" s="18"/>
      <c r="R166" s="19" t="str">
        <f aca="false">IF(OR(P166="",Q166=""),"",P166-Q166)</f>
        <v/>
      </c>
      <c r="S166" s="19" t="str">
        <f aca="false">IF(R166="","",R166*F166)</f>
        <v/>
      </c>
      <c r="T166" s="20" t="str">
        <f aca="false">IF(OR(R166="",P166=0),"",R166/P166)</f>
        <v/>
      </c>
      <c r="U166" s="13"/>
    </row>
    <row r="167" customFormat="false" ht="15" hidden="false" customHeight="false" outlineLevel="0" collapsed="false">
      <c r="A167" s="13"/>
      <c r="B167" s="16"/>
      <c r="C167" s="13"/>
      <c r="D167" s="13"/>
      <c r="E167" s="13"/>
      <c r="F167" s="17"/>
      <c r="G167" s="13"/>
      <c r="H167" s="18"/>
      <c r="I167" s="13"/>
      <c r="J167" s="18"/>
      <c r="K167" s="13"/>
      <c r="L167" s="18"/>
      <c r="M167" s="19" t="str">
        <f aca="false">IF(COUNT(H167,J167,L167)=0,"",MIN(H167,J167,L167))</f>
        <v/>
      </c>
      <c r="N167" s="14" t="str">
        <f aca="false">IF(M167="","",IF(H167=M167,G167,IF(J167=M167,I167,K167)))</f>
        <v/>
      </c>
      <c r="O167" s="19" t="str">
        <f aca="false">IF(M167="","",M167*F167)</f>
        <v/>
      </c>
      <c r="P167" s="18"/>
      <c r="Q167" s="18"/>
      <c r="R167" s="19" t="str">
        <f aca="false">IF(OR(P167="",Q167=""),"",P167-Q167)</f>
        <v/>
      </c>
      <c r="S167" s="19" t="str">
        <f aca="false">IF(R167="","",R167*F167)</f>
        <v/>
      </c>
      <c r="T167" s="20" t="str">
        <f aca="false">IF(OR(R167="",P167=0),"",R167/P167)</f>
        <v/>
      </c>
      <c r="U167" s="13"/>
    </row>
    <row r="168" customFormat="false" ht="15" hidden="false" customHeight="false" outlineLevel="0" collapsed="false">
      <c r="A168" s="13"/>
      <c r="B168" s="16"/>
      <c r="C168" s="13"/>
      <c r="D168" s="13"/>
      <c r="E168" s="13"/>
      <c r="F168" s="17"/>
      <c r="G168" s="13"/>
      <c r="H168" s="18"/>
      <c r="I168" s="13"/>
      <c r="J168" s="18"/>
      <c r="K168" s="13"/>
      <c r="L168" s="18"/>
      <c r="M168" s="19" t="str">
        <f aca="false">IF(COUNT(H168,J168,L168)=0,"",MIN(H168,J168,L168))</f>
        <v/>
      </c>
      <c r="N168" s="14" t="str">
        <f aca="false">IF(M168="","",IF(H168=M168,G168,IF(J168=M168,I168,K168)))</f>
        <v/>
      </c>
      <c r="O168" s="19" t="str">
        <f aca="false">IF(M168="","",M168*F168)</f>
        <v/>
      </c>
      <c r="P168" s="18"/>
      <c r="Q168" s="18"/>
      <c r="R168" s="19" t="str">
        <f aca="false">IF(OR(P168="",Q168=""),"",P168-Q168)</f>
        <v/>
      </c>
      <c r="S168" s="19" t="str">
        <f aca="false">IF(R168="","",R168*F168)</f>
        <v/>
      </c>
      <c r="T168" s="20" t="str">
        <f aca="false">IF(OR(R168="",P168=0),"",R168/P168)</f>
        <v/>
      </c>
      <c r="U168" s="13"/>
    </row>
    <row r="169" customFormat="false" ht="15" hidden="false" customHeight="false" outlineLevel="0" collapsed="false">
      <c r="A169" s="13"/>
      <c r="B169" s="16"/>
      <c r="C169" s="13"/>
      <c r="D169" s="13"/>
      <c r="E169" s="13"/>
      <c r="F169" s="17"/>
      <c r="G169" s="13"/>
      <c r="H169" s="18"/>
      <c r="I169" s="13"/>
      <c r="J169" s="18"/>
      <c r="K169" s="13"/>
      <c r="L169" s="18"/>
      <c r="M169" s="19" t="str">
        <f aca="false">IF(COUNT(H169,J169,L169)=0,"",MIN(H169,J169,L169))</f>
        <v/>
      </c>
      <c r="N169" s="14" t="str">
        <f aca="false">IF(M169="","",IF(H169=M169,G169,IF(J169=M169,I169,K169)))</f>
        <v/>
      </c>
      <c r="O169" s="19" t="str">
        <f aca="false">IF(M169="","",M169*F169)</f>
        <v/>
      </c>
      <c r="P169" s="18"/>
      <c r="Q169" s="18"/>
      <c r="R169" s="19" t="str">
        <f aca="false">IF(OR(P169="",Q169=""),"",P169-Q169)</f>
        <v/>
      </c>
      <c r="S169" s="19" t="str">
        <f aca="false">IF(R169="","",R169*F169)</f>
        <v/>
      </c>
      <c r="T169" s="20" t="str">
        <f aca="false">IF(OR(R169="",P169=0),"",R169/P169)</f>
        <v/>
      </c>
      <c r="U169" s="13"/>
    </row>
    <row r="170" customFormat="false" ht="15" hidden="false" customHeight="false" outlineLevel="0" collapsed="false">
      <c r="A170" s="13"/>
      <c r="B170" s="16"/>
      <c r="C170" s="13"/>
      <c r="D170" s="13"/>
      <c r="E170" s="13"/>
      <c r="F170" s="17"/>
      <c r="G170" s="13"/>
      <c r="H170" s="18"/>
      <c r="I170" s="13"/>
      <c r="J170" s="18"/>
      <c r="K170" s="13"/>
      <c r="L170" s="18"/>
      <c r="M170" s="19" t="str">
        <f aca="false">IF(COUNT(H170,J170,L170)=0,"",MIN(H170,J170,L170))</f>
        <v/>
      </c>
      <c r="N170" s="14" t="str">
        <f aca="false">IF(M170="","",IF(H170=M170,G170,IF(J170=M170,I170,K170)))</f>
        <v/>
      </c>
      <c r="O170" s="19" t="str">
        <f aca="false">IF(M170="","",M170*F170)</f>
        <v/>
      </c>
      <c r="P170" s="18"/>
      <c r="Q170" s="18"/>
      <c r="R170" s="19" t="str">
        <f aca="false">IF(OR(P170="",Q170=""),"",P170-Q170)</f>
        <v/>
      </c>
      <c r="S170" s="19" t="str">
        <f aca="false">IF(R170="","",R170*F170)</f>
        <v/>
      </c>
      <c r="T170" s="20" t="str">
        <f aca="false">IF(OR(R170="",P170=0),"",R170/P170)</f>
        <v/>
      </c>
      <c r="U170" s="13"/>
    </row>
    <row r="171" customFormat="false" ht="15" hidden="false" customHeight="false" outlineLevel="0" collapsed="false">
      <c r="A171" s="13"/>
      <c r="B171" s="16"/>
      <c r="C171" s="13"/>
      <c r="D171" s="13"/>
      <c r="E171" s="13"/>
      <c r="F171" s="17"/>
      <c r="G171" s="13"/>
      <c r="H171" s="18"/>
      <c r="I171" s="13"/>
      <c r="J171" s="18"/>
      <c r="K171" s="13"/>
      <c r="L171" s="18"/>
      <c r="M171" s="19" t="str">
        <f aca="false">IF(COUNT(H171,J171,L171)=0,"",MIN(H171,J171,L171))</f>
        <v/>
      </c>
      <c r="N171" s="14" t="str">
        <f aca="false">IF(M171="","",IF(H171=M171,G171,IF(J171=M171,I171,K171)))</f>
        <v/>
      </c>
      <c r="O171" s="19" t="str">
        <f aca="false">IF(M171="","",M171*F171)</f>
        <v/>
      </c>
      <c r="P171" s="18"/>
      <c r="Q171" s="18"/>
      <c r="R171" s="19" t="str">
        <f aca="false">IF(OR(P171="",Q171=""),"",P171-Q171)</f>
        <v/>
      </c>
      <c r="S171" s="19" t="str">
        <f aca="false">IF(R171="","",R171*F171)</f>
        <v/>
      </c>
      <c r="T171" s="20" t="str">
        <f aca="false">IF(OR(R171="",P171=0),"",R171/P171)</f>
        <v/>
      </c>
      <c r="U171" s="13"/>
    </row>
    <row r="172" customFormat="false" ht="15" hidden="false" customHeight="false" outlineLevel="0" collapsed="false">
      <c r="A172" s="13"/>
      <c r="B172" s="16"/>
      <c r="C172" s="13"/>
      <c r="D172" s="13"/>
      <c r="E172" s="13"/>
      <c r="F172" s="17"/>
      <c r="G172" s="13"/>
      <c r="H172" s="18"/>
      <c r="I172" s="13"/>
      <c r="J172" s="18"/>
      <c r="K172" s="13"/>
      <c r="L172" s="18"/>
      <c r="M172" s="19" t="str">
        <f aca="false">IF(COUNT(H172,J172,L172)=0,"",MIN(H172,J172,L172))</f>
        <v/>
      </c>
      <c r="N172" s="14" t="str">
        <f aca="false">IF(M172="","",IF(H172=M172,G172,IF(J172=M172,I172,K172)))</f>
        <v/>
      </c>
      <c r="O172" s="19" t="str">
        <f aca="false">IF(M172="","",M172*F172)</f>
        <v/>
      </c>
      <c r="P172" s="18"/>
      <c r="Q172" s="18"/>
      <c r="R172" s="19" t="str">
        <f aca="false">IF(OR(P172="",Q172=""),"",P172-Q172)</f>
        <v/>
      </c>
      <c r="S172" s="19" t="str">
        <f aca="false">IF(R172="","",R172*F172)</f>
        <v/>
      </c>
      <c r="T172" s="20" t="str">
        <f aca="false">IF(OR(R172="",P172=0),"",R172/P172)</f>
        <v/>
      </c>
      <c r="U172" s="13"/>
    </row>
    <row r="173" customFormat="false" ht="15" hidden="false" customHeight="false" outlineLevel="0" collapsed="false">
      <c r="A173" s="13"/>
      <c r="B173" s="16"/>
      <c r="C173" s="13"/>
      <c r="D173" s="13"/>
      <c r="E173" s="13"/>
      <c r="F173" s="17"/>
      <c r="G173" s="13"/>
      <c r="H173" s="18"/>
      <c r="I173" s="13"/>
      <c r="J173" s="18"/>
      <c r="K173" s="13"/>
      <c r="L173" s="18"/>
      <c r="M173" s="19" t="str">
        <f aca="false">IF(COUNT(H173,J173,L173)=0,"",MIN(H173,J173,L173))</f>
        <v/>
      </c>
      <c r="N173" s="14" t="str">
        <f aca="false">IF(M173="","",IF(H173=M173,G173,IF(J173=M173,I173,K173)))</f>
        <v/>
      </c>
      <c r="O173" s="19" t="str">
        <f aca="false">IF(M173="","",M173*F173)</f>
        <v/>
      </c>
      <c r="P173" s="18"/>
      <c r="Q173" s="18"/>
      <c r="R173" s="19" t="str">
        <f aca="false">IF(OR(P173="",Q173=""),"",P173-Q173)</f>
        <v/>
      </c>
      <c r="S173" s="19" t="str">
        <f aca="false">IF(R173="","",R173*F173)</f>
        <v/>
      </c>
      <c r="T173" s="20" t="str">
        <f aca="false">IF(OR(R173="",P173=0),"",R173/P173)</f>
        <v/>
      </c>
      <c r="U173" s="13"/>
    </row>
    <row r="174" customFormat="false" ht="15" hidden="false" customHeight="false" outlineLevel="0" collapsed="false">
      <c r="A174" s="13"/>
      <c r="B174" s="16"/>
      <c r="C174" s="13"/>
      <c r="D174" s="13"/>
      <c r="E174" s="13"/>
      <c r="F174" s="17"/>
      <c r="G174" s="13"/>
      <c r="H174" s="18"/>
      <c r="I174" s="13"/>
      <c r="J174" s="18"/>
      <c r="K174" s="13"/>
      <c r="L174" s="18"/>
      <c r="M174" s="19" t="str">
        <f aca="false">IF(COUNT(H174,J174,L174)=0,"",MIN(H174,J174,L174))</f>
        <v/>
      </c>
      <c r="N174" s="14" t="str">
        <f aca="false">IF(M174="","",IF(H174=M174,G174,IF(J174=M174,I174,K174)))</f>
        <v/>
      </c>
      <c r="O174" s="19" t="str">
        <f aca="false">IF(M174="","",M174*F174)</f>
        <v/>
      </c>
      <c r="P174" s="18"/>
      <c r="Q174" s="18"/>
      <c r="R174" s="19" t="str">
        <f aca="false">IF(OR(P174="",Q174=""),"",P174-Q174)</f>
        <v/>
      </c>
      <c r="S174" s="19" t="str">
        <f aca="false">IF(R174="","",R174*F174)</f>
        <v/>
      </c>
      <c r="T174" s="20" t="str">
        <f aca="false">IF(OR(R174="",P174=0),"",R174/P174)</f>
        <v/>
      </c>
      <c r="U174" s="13"/>
    </row>
    <row r="175" customFormat="false" ht="15" hidden="false" customHeight="false" outlineLevel="0" collapsed="false">
      <c r="A175" s="13"/>
      <c r="B175" s="16"/>
      <c r="C175" s="13"/>
      <c r="D175" s="13"/>
      <c r="E175" s="13"/>
      <c r="F175" s="17"/>
      <c r="G175" s="13"/>
      <c r="H175" s="18"/>
      <c r="I175" s="13"/>
      <c r="J175" s="18"/>
      <c r="K175" s="13"/>
      <c r="L175" s="18"/>
      <c r="M175" s="19" t="str">
        <f aca="false">IF(COUNT(H175,J175,L175)=0,"",MIN(H175,J175,L175))</f>
        <v/>
      </c>
      <c r="N175" s="14" t="str">
        <f aca="false">IF(M175="","",IF(H175=M175,G175,IF(J175=M175,I175,K175)))</f>
        <v/>
      </c>
      <c r="O175" s="19" t="str">
        <f aca="false">IF(M175="","",M175*F175)</f>
        <v/>
      </c>
      <c r="P175" s="18"/>
      <c r="Q175" s="18"/>
      <c r="R175" s="19" t="str">
        <f aca="false">IF(OR(P175="",Q175=""),"",P175-Q175)</f>
        <v/>
      </c>
      <c r="S175" s="19" t="str">
        <f aca="false">IF(R175="","",R175*F175)</f>
        <v/>
      </c>
      <c r="T175" s="20" t="str">
        <f aca="false">IF(OR(R175="",P175=0),"",R175/P175)</f>
        <v/>
      </c>
      <c r="U175" s="13"/>
    </row>
    <row r="176" customFormat="false" ht="15" hidden="false" customHeight="false" outlineLevel="0" collapsed="false">
      <c r="A176" s="13"/>
      <c r="B176" s="16"/>
      <c r="C176" s="13"/>
      <c r="D176" s="13"/>
      <c r="E176" s="13"/>
      <c r="F176" s="17"/>
      <c r="G176" s="13"/>
      <c r="H176" s="18"/>
      <c r="I176" s="13"/>
      <c r="J176" s="18"/>
      <c r="K176" s="13"/>
      <c r="L176" s="18"/>
      <c r="M176" s="19" t="str">
        <f aca="false">IF(COUNT(H176,J176,L176)=0,"",MIN(H176,J176,L176))</f>
        <v/>
      </c>
      <c r="N176" s="14" t="str">
        <f aca="false">IF(M176="","",IF(H176=M176,G176,IF(J176=M176,I176,K176)))</f>
        <v/>
      </c>
      <c r="O176" s="19" t="str">
        <f aca="false">IF(M176="","",M176*F176)</f>
        <v/>
      </c>
      <c r="P176" s="18"/>
      <c r="Q176" s="18"/>
      <c r="R176" s="19" t="str">
        <f aca="false">IF(OR(P176="",Q176=""),"",P176-Q176)</f>
        <v/>
      </c>
      <c r="S176" s="19" t="str">
        <f aca="false">IF(R176="","",R176*F176)</f>
        <v/>
      </c>
      <c r="T176" s="20" t="str">
        <f aca="false">IF(OR(R176="",P176=0),"",R176/P176)</f>
        <v/>
      </c>
      <c r="U176" s="13"/>
    </row>
    <row r="177" customFormat="false" ht="15" hidden="false" customHeight="false" outlineLevel="0" collapsed="false">
      <c r="A177" s="13"/>
      <c r="B177" s="16"/>
      <c r="C177" s="13"/>
      <c r="D177" s="13"/>
      <c r="E177" s="13"/>
      <c r="F177" s="17"/>
      <c r="G177" s="13"/>
      <c r="H177" s="18"/>
      <c r="I177" s="13"/>
      <c r="J177" s="18"/>
      <c r="K177" s="13"/>
      <c r="L177" s="18"/>
      <c r="M177" s="19" t="str">
        <f aca="false">IF(COUNT(H177,J177,L177)=0,"",MIN(H177,J177,L177))</f>
        <v/>
      </c>
      <c r="N177" s="14" t="str">
        <f aca="false">IF(M177="","",IF(H177=M177,G177,IF(J177=M177,I177,K177)))</f>
        <v/>
      </c>
      <c r="O177" s="19" t="str">
        <f aca="false">IF(M177="","",M177*F177)</f>
        <v/>
      </c>
      <c r="P177" s="18"/>
      <c r="Q177" s="18"/>
      <c r="R177" s="19" t="str">
        <f aca="false">IF(OR(P177="",Q177=""),"",P177-Q177)</f>
        <v/>
      </c>
      <c r="S177" s="19" t="str">
        <f aca="false">IF(R177="","",R177*F177)</f>
        <v/>
      </c>
      <c r="T177" s="20" t="str">
        <f aca="false">IF(OR(R177="",P177=0),"",R177/P177)</f>
        <v/>
      </c>
      <c r="U177" s="13"/>
    </row>
    <row r="178" customFormat="false" ht="15" hidden="false" customHeight="false" outlineLevel="0" collapsed="false">
      <c r="A178" s="13"/>
      <c r="B178" s="16"/>
      <c r="C178" s="13"/>
      <c r="D178" s="13"/>
      <c r="E178" s="13"/>
      <c r="F178" s="17"/>
      <c r="G178" s="13"/>
      <c r="H178" s="18"/>
      <c r="I178" s="13"/>
      <c r="J178" s="18"/>
      <c r="K178" s="13"/>
      <c r="L178" s="18"/>
      <c r="M178" s="19" t="str">
        <f aca="false">IF(COUNT(H178,J178,L178)=0,"",MIN(H178,J178,L178))</f>
        <v/>
      </c>
      <c r="N178" s="14" t="str">
        <f aca="false">IF(M178="","",IF(H178=M178,G178,IF(J178=M178,I178,K178)))</f>
        <v/>
      </c>
      <c r="O178" s="19" t="str">
        <f aca="false">IF(M178="","",M178*F178)</f>
        <v/>
      </c>
      <c r="P178" s="18"/>
      <c r="Q178" s="18"/>
      <c r="R178" s="19" t="str">
        <f aca="false">IF(OR(P178="",Q178=""),"",P178-Q178)</f>
        <v/>
      </c>
      <c r="S178" s="19" t="str">
        <f aca="false">IF(R178="","",R178*F178)</f>
        <v/>
      </c>
      <c r="T178" s="20" t="str">
        <f aca="false">IF(OR(R178="",P178=0),"",R178/P178)</f>
        <v/>
      </c>
      <c r="U178" s="13"/>
    </row>
    <row r="179" customFormat="false" ht="15" hidden="false" customHeight="false" outlineLevel="0" collapsed="false">
      <c r="A179" s="13"/>
      <c r="B179" s="16"/>
      <c r="C179" s="13"/>
      <c r="D179" s="13"/>
      <c r="E179" s="13"/>
      <c r="F179" s="17"/>
      <c r="G179" s="13"/>
      <c r="H179" s="18"/>
      <c r="I179" s="13"/>
      <c r="J179" s="18"/>
      <c r="K179" s="13"/>
      <c r="L179" s="18"/>
      <c r="M179" s="19" t="str">
        <f aca="false">IF(COUNT(H179,J179,L179)=0,"",MIN(H179,J179,L179))</f>
        <v/>
      </c>
      <c r="N179" s="14" t="str">
        <f aca="false">IF(M179="","",IF(H179=M179,G179,IF(J179=M179,I179,K179)))</f>
        <v/>
      </c>
      <c r="O179" s="19" t="str">
        <f aca="false">IF(M179="","",M179*F179)</f>
        <v/>
      </c>
      <c r="P179" s="18"/>
      <c r="Q179" s="18"/>
      <c r="R179" s="19" t="str">
        <f aca="false">IF(OR(P179="",Q179=""),"",P179-Q179)</f>
        <v/>
      </c>
      <c r="S179" s="19" t="str">
        <f aca="false">IF(R179="","",R179*F179)</f>
        <v/>
      </c>
      <c r="T179" s="20" t="str">
        <f aca="false">IF(OR(R179="",P179=0),"",R179/P179)</f>
        <v/>
      </c>
      <c r="U179" s="13"/>
    </row>
    <row r="180" customFormat="false" ht="15" hidden="false" customHeight="false" outlineLevel="0" collapsed="false">
      <c r="A180" s="13"/>
      <c r="B180" s="16"/>
      <c r="C180" s="13"/>
      <c r="D180" s="13"/>
      <c r="E180" s="13"/>
      <c r="F180" s="17"/>
      <c r="G180" s="13"/>
      <c r="H180" s="18"/>
      <c r="I180" s="13"/>
      <c r="J180" s="18"/>
      <c r="K180" s="13"/>
      <c r="L180" s="18"/>
      <c r="M180" s="19" t="str">
        <f aca="false">IF(COUNT(H180,J180,L180)=0,"",MIN(H180,J180,L180))</f>
        <v/>
      </c>
      <c r="N180" s="14" t="str">
        <f aca="false">IF(M180="","",IF(H180=M180,G180,IF(J180=M180,I180,K180)))</f>
        <v/>
      </c>
      <c r="O180" s="19" t="str">
        <f aca="false">IF(M180="","",M180*F180)</f>
        <v/>
      </c>
      <c r="P180" s="18"/>
      <c r="Q180" s="18"/>
      <c r="R180" s="19" t="str">
        <f aca="false">IF(OR(P180="",Q180=""),"",P180-Q180)</f>
        <v/>
      </c>
      <c r="S180" s="19" t="str">
        <f aca="false">IF(R180="","",R180*F180)</f>
        <v/>
      </c>
      <c r="T180" s="20" t="str">
        <f aca="false">IF(OR(R180="",P180=0),"",R180/P180)</f>
        <v/>
      </c>
      <c r="U180" s="13"/>
    </row>
    <row r="181" customFormat="false" ht="15" hidden="false" customHeight="false" outlineLevel="0" collapsed="false">
      <c r="A181" s="13"/>
      <c r="B181" s="16"/>
      <c r="C181" s="13"/>
      <c r="D181" s="13"/>
      <c r="E181" s="13"/>
      <c r="F181" s="17"/>
      <c r="G181" s="13"/>
      <c r="H181" s="18"/>
      <c r="I181" s="13"/>
      <c r="J181" s="18"/>
      <c r="K181" s="13"/>
      <c r="L181" s="18"/>
      <c r="M181" s="19" t="str">
        <f aca="false">IF(COUNT(H181,J181,L181)=0,"",MIN(H181,J181,L181))</f>
        <v/>
      </c>
      <c r="N181" s="14" t="str">
        <f aca="false">IF(M181="","",IF(H181=M181,G181,IF(J181=M181,I181,K181)))</f>
        <v/>
      </c>
      <c r="O181" s="19" t="str">
        <f aca="false">IF(M181="","",M181*F181)</f>
        <v/>
      </c>
      <c r="P181" s="18"/>
      <c r="Q181" s="18"/>
      <c r="R181" s="19" t="str">
        <f aca="false">IF(OR(P181="",Q181=""),"",P181-Q181)</f>
        <v/>
      </c>
      <c r="S181" s="19" t="str">
        <f aca="false">IF(R181="","",R181*F181)</f>
        <v/>
      </c>
      <c r="T181" s="20" t="str">
        <f aca="false">IF(OR(R181="",P181=0),"",R181/P181)</f>
        <v/>
      </c>
      <c r="U181" s="13"/>
    </row>
    <row r="182" customFormat="false" ht="15" hidden="false" customHeight="false" outlineLevel="0" collapsed="false">
      <c r="A182" s="13"/>
      <c r="B182" s="16"/>
      <c r="C182" s="13"/>
      <c r="D182" s="13"/>
      <c r="E182" s="13"/>
      <c r="F182" s="17"/>
      <c r="G182" s="13"/>
      <c r="H182" s="18"/>
      <c r="I182" s="13"/>
      <c r="J182" s="18"/>
      <c r="K182" s="13"/>
      <c r="L182" s="18"/>
      <c r="M182" s="19" t="str">
        <f aca="false">IF(COUNT(H182,J182,L182)=0,"",MIN(H182,J182,L182))</f>
        <v/>
      </c>
      <c r="N182" s="14" t="str">
        <f aca="false">IF(M182="","",IF(H182=M182,G182,IF(J182=M182,I182,K182)))</f>
        <v/>
      </c>
      <c r="O182" s="19" t="str">
        <f aca="false">IF(M182="","",M182*F182)</f>
        <v/>
      </c>
      <c r="P182" s="18"/>
      <c r="Q182" s="18"/>
      <c r="R182" s="19" t="str">
        <f aca="false">IF(OR(P182="",Q182=""),"",P182-Q182)</f>
        <v/>
      </c>
      <c r="S182" s="19" t="str">
        <f aca="false">IF(R182="","",R182*F182)</f>
        <v/>
      </c>
      <c r="T182" s="20" t="str">
        <f aca="false">IF(OR(R182="",P182=0),"",R182/P182)</f>
        <v/>
      </c>
      <c r="U182" s="13"/>
    </row>
    <row r="183" customFormat="false" ht="15" hidden="false" customHeight="false" outlineLevel="0" collapsed="false">
      <c r="A183" s="13"/>
      <c r="B183" s="16"/>
      <c r="C183" s="13"/>
      <c r="D183" s="13"/>
      <c r="E183" s="13"/>
      <c r="F183" s="17"/>
      <c r="G183" s="13"/>
      <c r="H183" s="18"/>
      <c r="I183" s="13"/>
      <c r="J183" s="18"/>
      <c r="K183" s="13"/>
      <c r="L183" s="18"/>
      <c r="M183" s="19" t="str">
        <f aca="false">IF(COUNT(H183,J183,L183)=0,"",MIN(H183,J183,L183))</f>
        <v/>
      </c>
      <c r="N183" s="14" t="str">
        <f aca="false">IF(M183="","",IF(H183=M183,G183,IF(J183=M183,I183,K183)))</f>
        <v/>
      </c>
      <c r="O183" s="19" t="str">
        <f aca="false">IF(M183="","",M183*F183)</f>
        <v/>
      </c>
      <c r="P183" s="18"/>
      <c r="Q183" s="18"/>
      <c r="R183" s="19" t="str">
        <f aca="false">IF(OR(P183="",Q183=""),"",P183-Q183)</f>
        <v/>
      </c>
      <c r="S183" s="19" t="str">
        <f aca="false">IF(R183="","",R183*F183)</f>
        <v/>
      </c>
      <c r="T183" s="20" t="str">
        <f aca="false">IF(OR(R183="",P183=0),"",R183/P183)</f>
        <v/>
      </c>
      <c r="U183" s="13"/>
    </row>
    <row r="184" customFormat="false" ht="15" hidden="false" customHeight="false" outlineLevel="0" collapsed="false">
      <c r="A184" s="13"/>
      <c r="B184" s="16"/>
      <c r="C184" s="13"/>
      <c r="D184" s="13"/>
      <c r="E184" s="13"/>
      <c r="F184" s="17"/>
      <c r="G184" s="13"/>
      <c r="H184" s="18"/>
      <c r="I184" s="13"/>
      <c r="J184" s="18"/>
      <c r="K184" s="13"/>
      <c r="L184" s="18"/>
      <c r="M184" s="19" t="str">
        <f aca="false">IF(COUNT(H184,J184,L184)=0,"",MIN(H184,J184,L184))</f>
        <v/>
      </c>
      <c r="N184" s="14" t="str">
        <f aca="false">IF(M184="","",IF(H184=M184,G184,IF(J184=M184,I184,K184)))</f>
        <v/>
      </c>
      <c r="O184" s="19" t="str">
        <f aca="false">IF(M184="","",M184*F184)</f>
        <v/>
      </c>
      <c r="P184" s="18"/>
      <c r="Q184" s="18"/>
      <c r="R184" s="19" t="str">
        <f aca="false">IF(OR(P184="",Q184=""),"",P184-Q184)</f>
        <v/>
      </c>
      <c r="S184" s="19" t="str">
        <f aca="false">IF(R184="","",R184*F184)</f>
        <v/>
      </c>
      <c r="T184" s="20" t="str">
        <f aca="false">IF(OR(R184="",P184=0),"",R184/P184)</f>
        <v/>
      </c>
      <c r="U184" s="13"/>
    </row>
    <row r="185" customFormat="false" ht="15" hidden="false" customHeight="false" outlineLevel="0" collapsed="false">
      <c r="A185" s="13"/>
      <c r="B185" s="16"/>
      <c r="C185" s="13"/>
      <c r="D185" s="13"/>
      <c r="E185" s="13"/>
      <c r="F185" s="17"/>
      <c r="G185" s="13"/>
      <c r="H185" s="18"/>
      <c r="I185" s="13"/>
      <c r="J185" s="18"/>
      <c r="K185" s="13"/>
      <c r="L185" s="18"/>
      <c r="M185" s="19" t="str">
        <f aca="false">IF(COUNT(H185,J185,L185)=0,"",MIN(H185,J185,L185))</f>
        <v/>
      </c>
      <c r="N185" s="14" t="str">
        <f aca="false">IF(M185="","",IF(H185=M185,G185,IF(J185=M185,I185,K185)))</f>
        <v/>
      </c>
      <c r="O185" s="19" t="str">
        <f aca="false">IF(M185="","",M185*F185)</f>
        <v/>
      </c>
      <c r="P185" s="18"/>
      <c r="Q185" s="18"/>
      <c r="R185" s="19" t="str">
        <f aca="false">IF(OR(P185="",Q185=""),"",P185-Q185)</f>
        <v/>
      </c>
      <c r="S185" s="19" t="str">
        <f aca="false">IF(R185="","",R185*F185)</f>
        <v/>
      </c>
      <c r="T185" s="20" t="str">
        <f aca="false">IF(OR(R185="",P185=0),"",R185/P185)</f>
        <v/>
      </c>
      <c r="U185" s="13"/>
    </row>
    <row r="186" customFormat="false" ht="15" hidden="false" customHeight="false" outlineLevel="0" collapsed="false">
      <c r="A186" s="13"/>
      <c r="B186" s="16"/>
      <c r="C186" s="13"/>
      <c r="D186" s="13"/>
      <c r="E186" s="13"/>
      <c r="F186" s="17"/>
      <c r="G186" s="13"/>
      <c r="H186" s="18"/>
      <c r="I186" s="13"/>
      <c r="J186" s="18"/>
      <c r="K186" s="13"/>
      <c r="L186" s="18"/>
      <c r="M186" s="19" t="str">
        <f aca="false">IF(COUNT(H186,J186,L186)=0,"",MIN(H186,J186,L186))</f>
        <v/>
      </c>
      <c r="N186" s="14" t="str">
        <f aca="false">IF(M186="","",IF(H186=M186,G186,IF(J186=M186,I186,K186)))</f>
        <v/>
      </c>
      <c r="O186" s="19" t="str">
        <f aca="false">IF(M186="","",M186*F186)</f>
        <v/>
      </c>
      <c r="P186" s="18"/>
      <c r="Q186" s="18"/>
      <c r="R186" s="19" t="str">
        <f aca="false">IF(OR(P186="",Q186=""),"",P186-Q186)</f>
        <v/>
      </c>
      <c r="S186" s="19" t="str">
        <f aca="false">IF(R186="","",R186*F186)</f>
        <v/>
      </c>
      <c r="T186" s="20" t="str">
        <f aca="false">IF(OR(R186="",P186=0),"",R186/P186)</f>
        <v/>
      </c>
      <c r="U186" s="13"/>
    </row>
    <row r="187" customFormat="false" ht="15" hidden="false" customHeight="false" outlineLevel="0" collapsed="false">
      <c r="A187" s="13"/>
      <c r="B187" s="16"/>
      <c r="C187" s="13"/>
      <c r="D187" s="13"/>
      <c r="E187" s="13"/>
      <c r="F187" s="17"/>
      <c r="G187" s="13"/>
      <c r="H187" s="18"/>
      <c r="I187" s="13"/>
      <c r="J187" s="18"/>
      <c r="K187" s="13"/>
      <c r="L187" s="18"/>
      <c r="M187" s="19" t="str">
        <f aca="false">IF(COUNT(H187,J187,L187)=0,"",MIN(H187,J187,L187))</f>
        <v/>
      </c>
      <c r="N187" s="14" t="str">
        <f aca="false">IF(M187="","",IF(H187=M187,G187,IF(J187=M187,I187,K187)))</f>
        <v/>
      </c>
      <c r="O187" s="19" t="str">
        <f aca="false">IF(M187="","",M187*F187)</f>
        <v/>
      </c>
      <c r="P187" s="18"/>
      <c r="Q187" s="18"/>
      <c r="R187" s="19" t="str">
        <f aca="false">IF(OR(P187="",Q187=""),"",P187-Q187)</f>
        <v/>
      </c>
      <c r="S187" s="19" t="str">
        <f aca="false">IF(R187="","",R187*F187)</f>
        <v/>
      </c>
      <c r="T187" s="20" t="str">
        <f aca="false">IF(OR(R187="",P187=0),"",R187/P187)</f>
        <v/>
      </c>
      <c r="U187" s="13"/>
    </row>
    <row r="188" customFormat="false" ht="15" hidden="false" customHeight="false" outlineLevel="0" collapsed="false">
      <c r="A188" s="13"/>
      <c r="B188" s="16"/>
      <c r="C188" s="13"/>
      <c r="D188" s="13"/>
      <c r="E188" s="13"/>
      <c r="F188" s="17"/>
      <c r="G188" s="13"/>
      <c r="H188" s="18"/>
      <c r="I188" s="13"/>
      <c r="J188" s="18"/>
      <c r="K188" s="13"/>
      <c r="L188" s="18"/>
      <c r="M188" s="19" t="str">
        <f aca="false">IF(COUNT(H188,J188,L188)=0,"",MIN(H188,J188,L188))</f>
        <v/>
      </c>
      <c r="N188" s="14" t="str">
        <f aca="false">IF(M188="","",IF(H188=M188,G188,IF(J188=M188,I188,K188)))</f>
        <v/>
      </c>
      <c r="O188" s="19" t="str">
        <f aca="false">IF(M188="","",M188*F188)</f>
        <v/>
      </c>
      <c r="P188" s="18"/>
      <c r="Q188" s="18"/>
      <c r="R188" s="19" t="str">
        <f aca="false">IF(OR(P188="",Q188=""),"",P188-Q188)</f>
        <v/>
      </c>
      <c r="S188" s="19" t="str">
        <f aca="false">IF(R188="","",R188*F188)</f>
        <v/>
      </c>
      <c r="T188" s="20" t="str">
        <f aca="false">IF(OR(R188="",P188=0),"",R188/P188)</f>
        <v/>
      </c>
      <c r="U188" s="13"/>
    </row>
    <row r="189" customFormat="false" ht="15" hidden="false" customHeight="false" outlineLevel="0" collapsed="false">
      <c r="A189" s="13"/>
      <c r="B189" s="16"/>
      <c r="C189" s="13"/>
      <c r="D189" s="13"/>
      <c r="E189" s="13"/>
      <c r="F189" s="17"/>
      <c r="G189" s="13"/>
      <c r="H189" s="18"/>
      <c r="I189" s="13"/>
      <c r="J189" s="18"/>
      <c r="K189" s="13"/>
      <c r="L189" s="18"/>
      <c r="M189" s="19" t="str">
        <f aca="false">IF(COUNT(H189,J189,L189)=0,"",MIN(H189,J189,L189))</f>
        <v/>
      </c>
      <c r="N189" s="14" t="str">
        <f aca="false">IF(M189="","",IF(H189=M189,G189,IF(J189=M189,I189,K189)))</f>
        <v/>
      </c>
      <c r="O189" s="19" t="str">
        <f aca="false">IF(M189="","",M189*F189)</f>
        <v/>
      </c>
      <c r="P189" s="18"/>
      <c r="Q189" s="18"/>
      <c r="R189" s="19" t="str">
        <f aca="false">IF(OR(P189="",Q189=""),"",P189-Q189)</f>
        <v/>
      </c>
      <c r="S189" s="19" t="str">
        <f aca="false">IF(R189="","",R189*F189)</f>
        <v/>
      </c>
      <c r="T189" s="20" t="str">
        <f aca="false">IF(OR(R189="",P189=0),"",R189/P189)</f>
        <v/>
      </c>
      <c r="U189" s="13"/>
    </row>
    <row r="190" customFormat="false" ht="15" hidden="false" customHeight="false" outlineLevel="0" collapsed="false">
      <c r="A190" s="13"/>
      <c r="B190" s="16"/>
      <c r="C190" s="13"/>
      <c r="D190" s="13"/>
      <c r="E190" s="13"/>
      <c r="F190" s="17"/>
      <c r="G190" s="13"/>
      <c r="H190" s="18"/>
      <c r="I190" s="13"/>
      <c r="J190" s="18"/>
      <c r="K190" s="13"/>
      <c r="L190" s="18"/>
      <c r="M190" s="19" t="str">
        <f aca="false">IF(COUNT(H190,J190,L190)=0,"",MIN(H190,J190,L190))</f>
        <v/>
      </c>
      <c r="N190" s="14" t="str">
        <f aca="false">IF(M190="","",IF(H190=M190,G190,IF(J190=M190,I190,K190)))</f>
        <v/>
      </c>
      <c r="O190" s="19" t="str">
        <f aca="false">IF(M190="","",M190*F190)</f>
        <v/>
      </c>
      <c r="P190" s="18"/>
      <c r="Q190" s="18"/>
      <c r="R190" s="19" t="str">
        <f aca="false">IF(OR(P190="",Q190=""),"",P190-Q190)</f>
        <v/>
      </c>
      <c r="S190" s="19" t="str">
        <f aca="false">IF(R190="","",R190*F190)</f>
        <v/>
      </c>
      <c r="T190" s="20" t="str">
        <f aca="false">IF(OR(R190="",P190=0),"",R190/P190)</f>
        <v/>
      </c>
      <c r="U190" s="13"/>
    </row>
    <row r="191" customFormat="false" ht="15" hidden="false" customHeight="false" outlineLevel="0" collapsed="false">
      <c r="A191" s="13"/>
      <c r="B191" s="16"/>
      <c r="C191" s="13"/>
      <c r="D191" s="13"/>
      <c r="E191" s="13"/>
      <c r="F191" s="17"/>
      <c r="G191" s="13"/>
      <c r="H191" s="18"/>
      <c r="I191" s="13"/>
      <c r="J191" s="18"/>
      <c r="K191" s="13"/>
      <c r="L191" s="18"/>
      <c r="M191" s="19" t="str">
        <f aca="false">IF(COUNT(H191,J191,L191)=0,"",MIN(H191,J191,L191))</f>
        <v/>
      </c>
      <c r="N191" s="14" t="str">
        <f aca="false">IF(M191="","",IF(H191=M191,G191,IF(J191=M191,I191,K191)))</f>
        <v/>
      </c>
      <c r="O191" s="19" t="str">
        <f aca="false">IF(M191="","",M191*F191)</f>
        <v/>
      </c>
      <c r="P191" s="18"/>
      <c r="Q191" s="18"/>
      <c r="R191" s="19" t="str">
        <f aca="false">IF(OR(P191="",Q191=""),"",P191-Q191)</f>
        <v/>
      </c>
      <c r="S191" s="19" t="str">
        <f aca="false">IF(R191="","",R191*F191)</f>
        <v/>
      </c>
      <c r="T191" s="20" t="str">
        <f aca="false">IF(OR(R191="",P191=0),"",R191/P191)</f>
        <v/>
      </c>
      <c r="U191" s="13"/>
    </row>
    <row r="192" customFormat="false" ht="15" hidden="false" customHeight="false" outlineLevel="0" collapsed="false">
      <c r="A192" s="13"/>
      <c r="B192" s="16"/>
      <c r="C192" s="13"/>
      <c r="D192" s="13"/>
      <c r="E192" s="13"/>
      <c r="F192" s="17"/>
      <c r="G192" s="13"/>
      <c r="H192" s="18"/>
      <c r="I192" s="13"/>
      <c r="J192" s="18"/>
      <c r="K192" s="13"/>
      <c r="L192" s="18"/>
      <c r="M192" s="19" t="str">
        <f aca="false">IF(COUNT(H192,J192,L192)=0,"",MIN(H192,J192,L192))</f>
        <v/>
      </c>
      <c r="N192" s="14" t="str">
        <f aca="false">IF(M192="","",IF(H192=M192,G192,IF(J192=M192,I192,K192)))</f>
        <v/>
      </c>
      <c r="O192" s="19" t="str">
        <f aca="false">IF(M192="","",M192*F192)</f>
        <v/>
      </c>
      <c r="P192" s="18"/>
      <c r="Q192" s="18"/>
      <c r="R192" s="19" t="str">
        <f aca="false">IF(OR(P192="",Q192=""),"",P192-Q192)</f>
        <v/>
      </c>
      <c r="S192" s="19" t="str">
        <f aca="false">IF(R192="","",R192*F192)</f>
        <v/>
      </c>
      <c r="T192" s="20" t="str">
        <f aca="false">IF(OR(R192="",P192=0),"",R192/P192)</f>
        <v/>
      </c>
      <c r="U192" s="13"/>
    </row>
    <row r="193" customFormat="false" ht="15" hidden="false" customHeight="false" outlineLevel="0" collapsed="false">
      <c r="A193" s="13"/>
      <c r="B193" s="16"/>
      <c r="C193" s="13"/>
      <c r="D193" s="13"/>
      <c r="E193" s="13"/>
      <c r="F193" s="17"/>
      <c r="G193" s="13"/>
      <c r="H193" s="18"/>
      <c r="I193" s="13"/>
      <c r="J193" s="18"/>
      <c r="K193" s="13"/>
      <c r="L193" s="18"/>
      <c r="M193" s="19" t="str">
        <f aca="false">IF(COUNT(H193,J193,L193)=0,"",MIN(H193,J193,L193))</f>
        <v/>
      </c>
      <c r="N193" s="14" t="str">
        <f aca="false">IF(M193="","",IF(H193=M193,G193,IF(J193=M193,I193,K193)))</f>
        <v/>
      </c>
      <c r="O193" s="19" t="str">
        <f aca="false">IF(M193="","",M193*F193)</f>
        <v/>
      </c>
      <c r="P193" s="18"/>
      <c r="Q193" s="18"/>
      <c r="R193" s="19" t="str">
        <f aca="false">IF(OR(P193="",Q193=""),"",P193-Q193)</f>
        <v/>
      </c>
      <c r="S193" s="19" t="str">
        <f aca="false">IF(R193="","",R193*F193)</f>
        <v/>
      </c>
      <c r="T193" s="20" t="str">
        <f aca="false">IF(OR(R193="",P193=0),"",R193/P193)</f>
        <v/>
      </c>
      <c r="U193" s="13"/>
    </row>
    <row r="194" customFormat="false" ht="15" hidden="false" customHeight="false" outlineLevel="0" collapsed="false">
      <c r="A194" s="13"/>
      <c r="B194" s="16"/>
      <c r="C194" s="13"/>
      <c r="D194" s="13"/>
      <c r="E194" s="13"/>
      <c r="F194" s="17"/>
      <c r="G194" s="13"/>
      <c r="H194" s="18"/>
      <c r="I194" s="13"/>
      <c r="J194" s="18"/>
      <c r="K194" s="13"/>
      <c r="L194" s="18"/>
      <c r="M194" s="19" t="str">
        <f aca="false">IF(COUNT(H194,J194,L194)=0,"",MIN(H194,J194,L194))</f>
        <v/>
      </c>
      <c r="N194" s="14" t="str">
        <f aca="false">IF(M194="","",IF(H194=M194,G194,IF(J194=M194,I194,K194)))</f>
        <v/>
      </c>
      <c r="O194" s="19" t="str">
        <f aca="false">IF(M194="","",M194*F194)</f>
        <v/>
      </c>
      <c r="P194" s="18"/>
      <c r="Q194" s="18"/>
      <c r="R194" s="19" t="str">
        <f aca="false">IF(OR(P194="",Q194=""),"",P194-Q194)</f>
        <v/>
      </c>
      <c r="S194" s="19" t="str">
        <f aca="false">IF(R194="","",R194*F194)</f>
        <v/>
      </c>
      <c r="T194" s="20" t="str">
        <f aca="false">IF(OR(R194="",P194=0),"",R194/P194)</f>
        <v/>
      </c>
      <c r="U194" s="13"/>
    </row>
    <row r="195" customFormat="false" ht="15" hidden="false" customHeight="false" outlineLevel="0" collapsed="false">
      <c r="A195" s="13"/>
      <c r="B195" s="16"/>
      <c r="C195" s="13"/>
      <c r="D195" s="13"/>
      <c r="E195" s="13"/>
      <c r="F195" s="17"/>
      <c r="G195" s="13"/>
      <c r="H195" s="18"/>
      <c r="I195" s="13"/>
      <c r="J195" s="18"/>
      <c r="K195" s="13"/>
      <c r="L195" s="18"/>
      <c r="M195" s="19" t="str">
        <f aca="false">IF(COUNT(H195,J195,L195)=0,"",MIN(H195,J195,L195))</f>
        <v/>
      </c>
      <c r="N195" s="14" t="str">
        <f aca="false">IF(M195="","",IF(H195=M195,G195,IF(J195=M195,I195,K195)))</f>
        <v/>
      </c>
      <c r="O195" s="19" t="str">
        <f aca="false">IF(M195="","",M195*F195)</f>
        <v/>
      </c>
      <c r="P195" s="18"/>
      <c r="Q195" s="18"/>
      <c r="R195" s="19" t="str">
        <f aca="false">IF(OR(P195="",Q195=""),"",P195-Q195)</f>
        <v/>
      </c>
      <c r="S195" s="19" t="str">
        <f aca="false">IF(R195="","",R195*F195)</f>
        <v/>
      </c>
      <c r="T195" s="20" t="str">
        <f aca="false">IF(OR(R195="",P195=0),"",R195/P195)</f>
        <v/>
      </c>
      <c r="U195" s="13"/>
    </row>
    <row r="196" customFormat="false" ht="15" hidden="false" customHeight="false" outlineLevel="0" collapsed="false">
      <c r="A196" s="13"/>
      <c r="B196" s="16"/>
      <c r="C196" s="13"/>
      <c r="D196" s="13"/>
      <c r="E196" s="13"/>
      <c r="F196" s="17"/>
      <c r="G196" s="13"/>
      <c r="H196" s="18"/>
      <c r="I196" s="13"/>
      <c r="J196" s="18"/>
      <c r="K196" s="13"/>
      <c r="L196" s="18"/>
      <c r="M196" s="19" t="str">
        <f aca="false">IF(COUNT(H196,J196,L196)=0,"",MIN(H196,J196,L196))</f>
        <v/>
      </c>
      <c r="N196" s="14" t="str">
        <f aca="false">IF(M196="","",IF(H196=M196,G196,IF(J196=M196,I196,K196)))</f>
        <v/>
      </c>
      <c r="O196" s="19" t="str">
        <f aca="false">IF(M196="","",M196*F196)</f>
        <v/>
      </c>
      <c r="P196" s="18"/>
      <c r="Q196" s="18"/>
      <c r="R196" s="19" t="str">
        <f aca="false">IF(OR(P196="",Q196=""),"",P196-Q196)</f>
        <v/>
      </c>
      <c r="S196" s="19" t="str">
        <f aca="false">IF(R196="","",R196*F196)</f>
        <v/>
      </c>
      <c r="T196" s="20" t="str">
        <f aca="false">IF(OR(R196="",P196=0),"",R196/P196)</f>
        <v/>
      </c>
      <c r="U196" s="13"/>
    </row>
    <row r="197" customFormat="false" ht="15" hidden="false" customHeight="false" outlineLevel="0" collapsed="false">
      <c r="A197" s="13"/>
      <c r="B197" s="16"/>
      <c r="C197" s="13"/>
      <c r="D197" s="13"/>
      <c r="E197" s="13"/>
      <c r="F197" s="17"/>
      <c r="G197" s="13"/>
      <c r="H197" s="18"/>
      <c r="I197" s="13"/>
      <c r="J197" s="18"/>
      <c r="K197" s="13"/>
      <c r="L197" s="18"/>
      <c r="M197" s="19" t="str">
        <f aca="false">IF(COUNT(H197,J197,L197)=0,"",MIN(H197,J197,L197))</f>
        <v/>
      </c>
      <c r="N197" s="14" t="str">
        <f aca="false">IF(M197="","",IF(H197=M197,G197,IF(J197=M197,I197,K197)))</f>
        <v/>
      </c>
      <c r="O197" s="19" t="str">
        <f aca="false">IF(M197="","",M197*F197)</f>
        <v/>
      </c>
      <c r="P197" s="18"/>
      <c r="Q197" s="18"/>
      <c r="R197" s="19" t="str">
        <f aca="false">IF(OR(P197="",Q197=""),"",P197-Q197)</f>
        <v/>
      </c>
      <c r="S197" s="19" t="str">
        <f aca="false">IF(R197="","",R197*F197)</f>
        <v/>
      </c>
      <c r="T197" s="20" t="str">
        <f aca="false">IF(OR(R197="",P197=0),"",R197/P197)</f>
        <v/>
      </c>
      <c r="U197" s="13"/>
    </row>
    <row r="198" customFormat="false" ht="15" hidden="false" customHeight="false" outlineLevel="0" collapsed="false">
      <c r="A198" s="13"/>
      <c r="B198" s="16"/>
      <c r="C198" s="13"/>
      <c r="D198" s="13"/>
      <c r="E198" s="13"/>
      <c r="F198" s="17"/>
      <c r="G198" s="13"/>
      <c r="H198" s="18"/>
      <c r="I198" s="13"/>
      <c r="J198" s="18"/>
      <c r="K198" s="13"/>
      <c r="L198" s="18"/>
      <c r="M198" s="19" t="str">
        <f aca="false">IF(COUNT(H198,J198,L198)=0,"",MIN(H198,J198,L198))</f>
        <v/>
      </c>
      <c r="N198" s="14" t="str">
        <f aca="false">IF(M198="","",IF(H198=M198,G198,IF(J198=M198,I198,K198)))</f>
        <v/>
      </c>
      <c r="O198" s="19" t="str">
        <f aca="false">IF(M198="","",M198*F198)</f>
        <v/>
      </c>
      <c r="P198" s="18"/>
      <c r="Q198" s="18"/>
      <c r="R198" s="19" t="str">
        <f aca="false">IF(OR(P198="",Q198=""),"",P198-Q198)</f>
        <v/>
      </c>
      <c r="S198" s="19" t="str">
        <f aca="false">IF(R198="","",R198*F198)</f>
        <v/>
      </c>
      <c r="T198" s="20" t="str">
        <f aca="false">IF(OR(R198="",P198=0),"",R198/P198)</f>
        <v/>
      </c>
      <c r="U198" s="13"/>
    </row>
    <row r="199" customFormat="false" ht="15" hidden="false" customHeight="false" outlineLevel="0" collapsed="false">
      <c r="A199" s="13"/>
      <c r="B199" s="16"/>
      <c r="C199" s="13"/>
      <c r="D199" s="13"/>
      <c r="E199" s="13"/>
      <c r="F199" s="17"/>
      <c r="G199" s="13"/>
      <c r="H199" s="18"/>
      <c r="I199" s="13"/>
      <c r="J199" s="18"/>
      <c r="K199" s="13"/>
      <c r="L199" s="18"/>
      <c r="M199" s="19" t="str">
        <f aca="false">IF(COUNT(H199,J199,L199)=0,"",MIN(H199,J199,L199))</f>
        <v/>
      </c>
      <c r="N199" s="14" t="str">
        <f aca="false">IF(M199="","",IF(H199=M199,G199,IF(J199=M199,I199,K199)))</f>
        <v/>
      </c>
      <c r="O199" s="19" t="str">
        <f aca="false">IF(M199="","",M199*F199)</f>
        <v/>
      </c>
      <c r="P199" s="18"/>
      <c r="Q199" s="18"/>
      <c r="R199" s="19" t="str">
        <f aca="false">IF(OR(P199="",Q199=""),"",P199-Q199)</f>
        <v/>
      </c>
      <c r="S199" s="19" t="str">
        <f aca="false">IF(R199="","",R199*F199)</f>
        <v/>
      </c>
      <c r="T199" s="20" t="str">
        <f aca="false">IF(OR(R199="",P199=0),"",R199/P199)</f>
        <v/>
      </c>
      <c r="U199" s="13"/>
    </row>
    <row r="200" customFormat="false" ht="15" hidden="false" customHeight="false" outlineLevel="0" collapsed="false">
      <c r="A200" s="13"/>
      <c r="B200" s="16"/>
      <c r="C200" s="13"/>
      <c r="D200" s="13"/>
      <c r="E200" s="13"/>
      <c r="F200" s="17"/>
      <c r="G200" s="13"/>
      <c r="H200" s="18"/>
      <c r="I200" s="13"/>
      <c r="J200" s="18"/>
      <c r="K200" s="13"/>
      <c r="L200" s="18"/>
      <c r="M200" s="19" t="str">
        <f aca="false">IF(COUNT(H200,J200,L200)=0,"",MIN(H200,J200,L200))</f>
        <v/>
      </c>
      <c r="N200" s="14" t="str">
        <f aca="false">IF(M200="","",IF(H200=M200,G200,IF(J200=M200,I200,K200)))</f>
        <v/>
      </c>
      <c r="O200" s="19" t="str">
        <f aca="false">IF(M200="","",M200*F200)</f>
        <v/>
      </c>
      <c r="P200" s="18"/>
      <c r="Q200" s="18"/>
      <c r="R200" s="19" t="str">
        <f aca="false">IF(OR(P200="",Q200=""),"",P200-Q200)</f>
        <v/>
      </c>
      <c r="S200" s="19" t="str">
        <f aca="false">IF(R200="","",R200*F200)</f>
        <v/>
      </c>
      <c r="T200" s="20" t="str">
        <f aca="false">IF(OR(R200="",P200=0),"",R200/P200)</f>
        <v/>
      </c>
      <c r="U200" s="13"/>
    </row>
    <row r="201" customFormat="false" ht="15" hidden="false" customHeight="false" outlineLevel="0" collapsed="false">
      <c r="A201" s="13"/>
      <c r="B201" s="16"/>
      <c r="C201" s="13"/>
      <c r="D201" s="13"/>
      <c r="E201" s="13"/>
      <c r="F201" s="17"/>
      <c r="G201" s="13"/>
      <c r="H201" s="18"/>
      <c r="I201" s="13"/>
      <c r="J201" s="18"/>
      <c r="K201" s="13"/>
      <c r="L201" s="18"/>
      <c r="M201" s="19" t="str">
        <f aca="false">IF(COUNT(H201,J201,L201)=0,"",MIN(H201,J201,L201))</f>
        <v/>
      </c>
      <c r="N201" s="14" t="str">
        <f aca="false">IF(M201="","",IF(H201=M201,G201,IF(J201=M201,I201,K201)))</f>
        <v/>
      </c>
      <c r="O201" s="19" t="str">
        <f aca="false">IF(M201="","",M201*F201)</f>
        <v/>
      </c>
      <c r="P201" s="18"/>
      <c r="Q201" s="18"/>
      <c r="R201" s="19" t="str">
        <f aca="false">IF(OR(P201="",Q201=""),"",P201-Q201)</f>
        <v/>
      </c>
      <c r="S201" s="19" t="str">
        <f aca="false">IF(R201="","",R201*F201)</f>
        <v/>
      </c>
      <c r="T201" s="20" t="str">
        <f aca="false">IF(OR(R201="",P201=0),"",R201/P201)</f>
        <v/>
      </c>
      <c r="U201" s="13"/>
    </row>
    <row r="202" customFormat="false" ht="15" hidden="false" customHeight="false" outlineLevel="0" collapsed="false">
      <c r="A202" s="13"/>
      <c r="B202" s="16"/>
      <c r="C202" s="13"/>
      <c r="D202" s="13"/>
      <c r="E202" s="13"/>
      <c r="F202" s="17"/>
      <c r="G202" s="13"/>
      <c r="H202" s="18"/>
      <c r="I202" s="13"/>
      <c r="J202" s="18"/>
      <c r="K202" s="13"/>
      <c r="L202" s="18"/>
      <c r="M202" s="19" t="str">
        <f aca="false">IF(COUNT(H202,J202,L202)=0,"",MIN(H202,J202,L202))</f>
        <v/>
      </c>
      <c r="N202" s="14" t="str">
        <f aca="false">IF(M202="","",IF(H202=M202,G202,IF(J202=M202,I202,K202)))</f>
        <v/>
      </c>
      <c r="O202" s="19" t="str">
        <f aca="false">IF(M202="","",M202*F202)</f>
        <v/>
      </c>
      <c r="P202" s="18"/>
      <c r="Q202" s="18"/>
      <c r="R202" s="19" t="str">
        <f aca="false">IF(OR(P202="",Q202=""),"",P202-Q202)</f>
        <v/>
      </c>
      <c r="S202" s="19" t="str">
        <f aca="false">IF(R202="","",R202*F202)</f>
        <v/>
      </c>
      <c r="T202" s="20" t="str">
        <f aca="false">IF(OR(R202="",P202=0),"",R202/P202)</f>
        <v/>
      </c>
      <c r="U202" s="13"/>
    </row>
    <row r="203" customFormat="false" ht="15" hidden="false" customHeight="false" outlineLevel="0" collapsed="false">
      <c r="A203" s="13"/>
      <c r="B203" s="16"/>
      <c r="C203" s="13"/>
      <c r="D203" s="13"/>
      <c r="E203" s="13"/>
      <c r="F203" s="17"/>
      <c r="G203" s="13"/>
      <c r="H203" s="18"/>
      <c r="I203" s="13"/>
      <c r="J203" s="18"/>
      <c r="K203" s="13"/>
      <c r="L203" s="18"/>
      <c r="M203" s="19" t="str">
        <f aca="false">IF(COUNT(H203,J203,L203)=0,"",MIN(H203,J203,L203))</f>
        <v/>
      </c>
      <c r="N203" s="14" t="str">
        <f aca="false">IF(M203="","",IF(H203=M203,G203,IF(J203=M203,I203,K203)))</f>
        <v/>
      </c>
      <c r="O203" s="19" t="str">
        <f aca="false">IF(M203="","",M203*F203)</f>
        <v/>
      </c>
      <c r="P203" s="18"/>
      <c r="Q203" s="18"/>
      <c r="R203" s="19" t="str">
        <f aca="false">IF(OR(P203="",Q203=""),"",P203-Q203)</f>
        <v/>
      </c>
      <c r="S203" s="19" t="str">
        <f aca="false">IF(R203="","",R203*F203)</f>
        <v/>
      </c>
      <c r="T203" s="20" t="str">
        <f aca="false">IF(OR(R203="",P203=0),"",R203/P203)</f>
        <v/>
      </c>
      <c r="U203" s="13"/>
    </row>
    <row r="204" customFormat="false" ht="15" hidden="false" customHeight="false" outlineLevel="0" collapsed="false">
      <c r="A204" s="13"/>
      <c r="B204" s="16"/>
      <c r="C204" s="13"/>
      <c r="D204" s="13"/>
      <c r="E204" s="13"/>
      <c r="F204" s="17"/>
      <c r="G204" s="13"/>
      <c r="H204" s="18"/>
      <c r="I204" s="13"/>
      <c r="J204" s="18"/>
      <c r="K204" s="13"/>
      <c r="L204" s="18"/>
      <c r="M204" s="19" t="str">
        <f aca="false">IF(COUNT(H204,J204,L204)=0,"",MIN(H204,J204,L204))</f>
        <v/>
      </c>
      <c r="N204" s="14" t="str">
        <f aca="false">IF(M204="","",IF(H204=M204,G204,IF(J204=M204,I204,K204)))</f>
        <v/>
      </c>
      <c r="O204" s="19" t="str">
        <f aca="false">IF(M204="","",M204*F204)</f>
        <v/>
      </c>
      <c r="P204" s="18"/>
      <c r="Q204" s="18"/>
      <c r="R204" s="19" t="str">
        <f aca="false">IF(OR(P204="",Q204=""),"",P204-Q204)</f>
        <v/>
      </c>
      <c r="S204" s="19" t="str">
        <f aca="false">IF(R204="","",R204*F204)</f>
        <v/>
      </c>
      <c r="T204" s="20" t="str">
        <f aca="false">IF(OR(R204="",P204=0),"",R204/P204)</f>
        <v/>
      </c>
      <c r="U204" s="13"/>
    </row>
    <row r="205" customFormat="false" ht="15" hidden="false" customHeight="false" outlineLevel="0" collapsed="false">
      <c r="A205" s="13"/>
      <c r="B205" s="16"/>
      <c r="C205" s="13"/>
      <c r="D205" s="13"/>
      <c r="E205" s="13"/>
      <c r="F205" s="17"/>
      <c r="G205" s="13"/>
      <c r="H205" s="18"/>
      <c r="I205" s="13"/>
      <c r="J205" s="18"/>
      <c r="K205" s="13"/>
      <c r="L205" s="18"/>
      <c r="M205" s="19" t="str">
        <f aca="false">IF(COUNT(H205,J205,L205)=0,"",MIN(H205,J205,L205))</f>
        <v/>
      </c>
      <c r="N205" s="14" t="str">
        <f aca="false">IF(M205="","",IF(H205=M205,G205,IF(J205=M205,I205,K205)))</f>
        <v/>
      </c>
      <c r="O205" s="19" t="str">
        <f aca="false">IF(M205="","",M205*F205)</f>
        <v/>
      </c>
      <c r="P205" s="18"/>
      <c r="Q205" s="18"/>
      <c r="R205" s="19" t="str">
        <f aca="false">IF(OR(P205="",Q205=""),"",P205-Q205)</f>
        <v/>
      </c>
      <c r="S205" s="19" t="str">
        <f aca="false">IF(R205="","",R205*F205)</f>
        <v/>
      </c>
      <c r="T205" s="20" t="str">
        <f aca="false">IF(OR(R205="",P205=0),"",R205/P205)</f>
        <v/>
      </c>
      <c r="U205" s="13"/>
    </row>
    <row r="206" customFormat="false" ht="15" hidden="false" customHeight="false" outlineLevel="0" collapsed="false">
      <c r="A206" s="13"/>
      <c r="B206" s="16"/>
      <c r="C206" s="13"/>
      <c r="D206" s="13"/>
      <c r="E206" s="13"/>
      <c r="F206" s="17"/>
      <c r="G206" s="13"/>
      <c r="H206" s="18"/>
      <c r="I206" s="13"/>
      <c r="J206" s="18"/>
      <c r="K206" s="13"/>
      <c r="L206" s="18"/>
      <c r="M206" s="19" t="str">
        <f aca="false">IF(COUNT(H206,J206,L206)=0,"",MIN(H206,J206,L206))</f>
        <v/>
      </c>
      <c r="N206" s="14" t="str">
        <f aca="false">IF(M206="","",IF(H206=M206,G206,IF(J206=M206,I206,K206)))</f>
        <v/>
      </c>
      <c r="O206" s="19" t="str">
        <f aca="false">IF(M206="","",M206*F206)</f>
        <v/>
      </c>
      <c r="P206" s="18"/>
      <c r="Q206" s="18"/>
      <c r="R206" s="19" t="str">
        <f aca="false">IF(OR(P206="",Q206=""),"",P206-Q206)</f>
        <v/>
      </c>
      <c r="S206" s="19" t="str">
        <f aca="false">IF(R206="","",R206*F206)</f>
        <v/>
      </c>
      <c r="T206" s="20" t="str">
        <f aca="false">IF(OR(R206="",P206=0),"",R206/P206)</f>
        <v/>
      </c>
      <c r="U206" s="13"/>
    </row>
    <row r="207" customFormat="false" ht="15" hidden="false" customHeight="false" outlineLevel="0" collapsed="false">
      <c r="A207" s="13"/>
      <c r="B207" s="16"/>
      <c r="C207" s="13"/>
      <c r="D207" s="13"/>
      <c r="E207" s="13"/>
      <c r="F207" s="17"/>
      <c r="G207" s="13"/>
      <c r="H207" s="18"/>
      <c r="I207" s="13"/>
      <c r="J207" s="18"/>
      <c r="K207" s="13"/>
      <c r="L207" s="18"/>
      <c r="M207" s="19" t="str">
        <f aca="false">IF(COUNT(H207,J207,L207)=0,"",MIN(H207,J207,L207))</f>
        <v/>
      </c>
      <c r="N207" s="14" t="str">
        <f aca="false">IF(M207="","",IF(H207=M207,G207,IF(J207=M207,I207,K207)))</f>
        <v/>
      </c>
      <c r="O207" s="19" t="str">
        <f aca="false">IF(M207="","",M207*F207)</f>
        <v/>
      </c>
      <c r="P207" s="18"/>
      <c r="Q207" s="18"/>
      <c r="R207" s="19" t="str">
        <f aca="false">IF(OR(P207="",Q207=""),"",P207-Q207)</f>
        <v/>
      </c>
      <c r="S207" s="19" t="str">
        <f aca="false">IF(R207="","",R207*F207)</f>
        <v/>
      </c>
      <c r="T207" s="20" t="str">
        <f aca="false">IF(OR(R207="",P207=0),"",R207/P207)</f>
        <v/>
      </c>
      <c r="U207" s="13"/>
    </row>
    <row r="208" customFormat="false" ht="15" hidden="false" customHeight="false" outlineLevel="0" collapsed="false">
      <c r="A208" s="13"/>
      <c r="B208" s="16"/>
      <c r="C208" s="13"/>
      <c r="D208" s="13"/>
      <c r="E208" s="13"/>
      <c r="F208" s="17"/>
      <c r="G208" s="13"/>
      <c r="H208" s="18"/>
      <c r="I208" s="13"/>
      <c r="J208" s="18"/>
      <c r="K208" s="13"/>
      <c r="L208" s="18"/>
      <c r="M208" s="19" t="str">
        <f aca="false">IF(COUNT(H208,J208,L208)=0,"",MIN(H208,J208,L208))</f>
        <v/>
      </c>
      <c r="N208" s="14" t="str">
        <f aca="false">IF(M208="","",IF(H208=M208,G208,IF(J208=M208,I208,K208)))</f>
        <v/>
      </c>
      <c r="O208" s="19" t="str">
        <f aca="false">IF(M208="","",M208*F208)</f>
        <v/>
      </c>
      <c r="P208" s="18"/>
      <c r="Q208" s="18"/>
      <c r="R208" s="19" t="str">
        <f aca="false">IF(OR(P208="",Q208=""),"",P208-Q208)</f>
        <v/>
      </c>
      <c r="S208" s="19" t="str">
        <f aca="false">IF(R208="","",R208*F208)</f>
        <v/>
      </c>
      <c r="T208" s="20" t="str">
        <f aca="false">IF(OR(R208="",P208=0),"",R208/P208)</f>
        <v/>
      </c>
      <c r="U208" s="13"/>
    </row>
    <row r="209" customFormat="false" ht="15" hidden="false" customHeight="false" outlineLevel="0" collapsed="false">
      <c r="A209" s="13"/>
      <c r="B209" s="16"/>
      <c r="C209" s="13"/>
      <c r="D209" s="13"/>
      <c r="E209" s="13"/>
      <c r="F209" s="17"/>
      <c r="G209" s="13"/>
      <c r="H209" s="18"/>
      <c r="I209" s="13"/>
      <c r="J209" s="18"/>
      <c r="K209" s="13"/>
      <c r="L209" s="18"/>
      <c r="M209" s="19" t="str">
        <f aca="false">IF(COUNT(H209,J209,L209)=0,"",MIN(H209,J209,L209))</f>
        <v/>
      </c>
      <c r="N209" s="14" t="str">
        <f aca="false">IF(M209="","",IF(H209=M209,G209,IF(J209=M209,I209,K209)))</f>
        <v/>
      </c>
      <c r="O209" s="19" t="str">
        <f aca="false">IF(M209="","",M209*F209)</f>
        <v/>
      </c>
      <c r="P209" s="18"/>
      <c r="Q209" s="18"/>
      <c r="R209" s="19" t="str">
        <f aca="false">IF(OR(P209="",Q209=""),"",P209-Q209)</f>
        <v/>
      </c>
      <c r="S209" s="19" t="str">
        <f aca="false">IF(R209="","",R209*F209)</f>
        <v/>
      </c>
      <c r="T209" s="20" t="str">
        <f aca="false">IF(OR(R209="",P209=0),"",R209/P209)</f>
        <v/>
      </c>
      <c r="U209" s="13"/>
    </row>
    <row r="210" customFormat="false" ht="15" hidden="false" customHeight="false" outlineLevel="0" collapsed="false">
      <c r="A210" s="13"/>
      <c r="B210" s="16"/>
      <c r="C210" s="13"/>
      <c r="D210" s="13"/>
      <c r="E210" s="13"/>
      <c r="F210" s="17"/>
      <c r="G210" s="13"/>
      <c r="H210" s="18"/>
      <c r="I210" s="13"/>
      <c r="J210" s="18"/>
      <c r="K210" s="13"/>
      <c r="L210" s="18"/>
      <c r="M210" s="19" t="str">
        <f aca="false">IF(COUNT(H210,J210,L210)=0,"",MIN(H210,J210,L210))</f>
        <v/>
      </c>
      <c r="N210" s="14" t="str">
        <f aca="false">IF(M210="","",IF(H210=M210,G210,IF(J210=M210,I210,K210)))</f>
        <v/>
      </c>
      <c r="O210" s="19" t="str">
        <f aca="false">IF(M210="","",M210*F210)</f>
        <v/>
      </c>
      <c r="P210" s="18"/>
      <c r="Q210" s="18"/>
      <c r="R210" s="19" t="str">
        <f aca="false">IF(OR(P210="",Q210=""),"",P210-Q210)</f>
        <v/>
      </c>
      <c r="S210" s="19" t="str">
        <f aca="false">IF(R210="","",R210*F210)</f>
        <v/>
      </c>
      <c r="T210" s="20" t="str">
        <f aca="false">IF(OR(R210="",P210=0),"",R210/P210)</f>
        <v/>
      </c>
      <c r="U210" s="13"/>
    </row>
    <row r="211" customFormat="false" ht="15" hidden="false" customHeight="false" outlineLevel="0" collapsed="false">
      <c r="A211" s="13"/>
      <c r="B211" s="16"/>
      <c r="C211" s="13"/>
      <c r="D211" s="13"/>
      <c r="E211" s="13"/>
      <c r="F211" s="17"/>
      <c r="G211" s="13"/>
      <c r="H211" s="18"/>
      <c r="I211" s="13"/>
      <c r="J211" s="18"/>
      <c r="K211" s="13"/>
      <c r="L211" s="18"/>
      <c r="M211" s="19" t="str">
        <f aca="false">IF(COUNT(H211,J211,L211)=0,"",MIN(H211,J211,L211))</f>
        <v/>
      </c>
      <c r="N211" s="14" t="str">
        <f aca="false">IF(M211="","",IF(H211=M211,G211,IF(J211=M211,I211,K211)))</f>
        <v/>
      </c>
      <c r="O211" s="19" t="str">
        <f aca="false">IF(M211="","",M211*F211)</f>
        <v/>
      </c>
      <c r="P211" s="18"/>
      <c r="Q211" s="18"/>
      <c r="R211" s="19" t="str">
        <f aca="false">IF(OR(P211="",Q211=""),"",P211-Q211)</f>
        <v/>
      </c>
      <c r="S211" s="19" t="str">
        <f aca="false">IF(R211="","",R211*F211)</f>
        <v/>
      </c>
      <c r="T211" s="20" t="str">
        <f aca="false">IF(OR(R211="",P211=0),"",R211/P211)</f>
        <v/>
      </c>
      <c r="U211" s="13"/>
    </row>
    <row r="212" customFormat="false" ht="15" hidden="false" customHeight="false" outlineLevel="0" collapsed="false">
      <c r="A212" s="13"/>
      <c r="B212" s="16"/>
      <c r="C212" s="13"/>
      <c r="D212" s="13"/>
      <c r="E212" s="13"/>
      <c r="F212" s="17"/>
      <c r="G212" s="13"/>
      <c r="H212" s="18"/>
      <c r="I212" s="13"/>
      <c r="J212" s="18"/>
      <c r="K212" s="13"/>
      <c r="L212" s="18"/>
      <c r="M212" s="19" t="str">
        <f aca="false">IF(COUNT(H212,J212,L212)=0,"",MIN(H212,J212,L212))</f>
        <v/>
      </c>
      <c r="N212" s="14" t="str">
        <f aca="false">IF(M212="","",IF(H212=M212,G212,IF(J212=M212,I212,K212)))</f>
        <v/>
      </c>
      <c r="O212" s="19" t="str">
        <f aca="false">IF(M212="","",M212*F212)</f>
        <v/>
      </c>
      <c r="P212" s="18"/>
      <c r="Q212" s="18"/>
      <c r="R212" s="19" t="str">
        <f aca="false">IF(OR(P212="",Q212=""),"",P212-Q212)</f>
        <v/>
      </c>
      <c r="S212" s="19" t="str">
        <f aca="false">IF(R212="","",R212*F212)</f>
        <v/>
      </c>
      <c r="T212" s="20" t="str">
        <f aca="false">IF(OR(R212="",P212=0),"",R212/P212)</f>
        <v/>
      </c>
      <c r="U212" s="13"/>
    </row>
    <row r="213" customFormat="false" ht="15" hidden="false" customHeight="false" outlineLevel="0" collapsed="false">
      <c r="A213" s="13"/>
      <c r="B213" s="16"/>
      <c r="C213" s="13"/>
      <c r="D213" s="13"/>
      <c r="E213" s="13"/>
      <c r="F213" s="17"/>
      <c r="G213" s="13"/>
      <c r="H213" s="18"/>
      <c r="I213" s="13"/>
      <c r="J213" s="18"/>
      <c r="K213" s="13"/>
      <c r="L213" s="18"/>
      <c r="M213" s="19" t="str">
        <f aca="false">IF(COUNT(H213,J213,L213)=0,"",MIN(H213,J213,L213))</f>
        <v/>
      </c>
      <c r="N213" s="14" t="str">
        <f aca="false">IF(M213="","",IF(H213=M213,G213,IF(J213=M213,I213,K213)))</f>
        <v/>
      </c>
      <c r="O213" s="19" t="str">
        <f aca="false">IF(M213="","",M213*F213)</f>
        <v/>
      </c>
      <c r="P213" s="18"/>
      <c r="Q213" s="18"/>
      <c r="R213" s="19" t="str">
        <f aca="false">IF(OR(P213="",Q213=""),"",P213-Q213)</f>
        <v/>
      </c>
      <c r="S213" s="19" t="str">
        <f aca="false">IF(R213="","",R213*F213)</f>
        <v/>
      </c>
      <c r="T213" s="20" t="str">
        <f aca="false">IF(OR(R213="",P213=0),"",R213/P213)</f>
        <v/>
      </c>
      <c r="U213" s="13"/>
    </row>
    <row r="214" customFormat="false" ht="15" hidden="false" customHeight="false" outlineLevel="0" collapsed="false">
      <c r="A214" s="13"/>
      <c r="B214" s="16"/>
      <c r="C214" s="13"/>
      <c r="D214" s="13"/>
      <c r="E214" s="13"/>
      <c r="F214" s="17"/>
      <c r="G214" s="13"/>
      <c r="H214" s="18"/>
      <c r="I214" s="13"/>
      <c r="J214" s="18"/>
      <c r="K214" s="13"/>
      <c r="L214" s="18"/>
      <c r="M214" s="19" t="str">
        <f aca="false">IF(COUNT(H214,J214,L214)=0,"",MIN(H214,J214,L214))</f>
        <v/>
      </c>
      <c r="N214" s="14" t="str">
        <f aca="false">IF(M214="","",IF(H214=M214,G214,IF(J214=M214,I214,K214)))</f>
        <v/>
      </c>
      <c r="O214" s="19" t="str">
        <f aca="false">IF(M214="","",M214*F214)</f>
        <v/>
      </c>
      <c r="P214" s="18"/>
      <c r="Q214" s="18"/>
      <c r="R214" s="19" t="str">
        <f aca="false">IF(OR(P214="",Q214=""),"",P214-Q214)</f>
        <v/>
      </c>
      <c r="S214" s="19" t="str">
        <f aca="false">IF(R214="","",R214*F214)</f>
        <v/>
      </c>
      <c r="T214" s="20" t="str">
        <f aca="false">IF(OR(R214="",P214=0),"",R214/P214)</f>
        <v/>
      </c>
      <c r="U214" s="13"/>
    </row>
    <row r="215" customFormat="false" ht="15" hidden="false" customHeight="false" outlineLevel="0" collapsed="false">
      <c r="A215" s="13"/>
      <c r="B215" s="16"/>
      <c r="C215" s="13"/>
      <c r="D215" s="13"/>
      <c r="E215" s="13"/>
      <c r="F215" s="17"/>
      <c r="G215" s="13"/>
      <c r="H215" s="18"/>
      <c r="I215" s="13"/>
      <c r="J215" s="18"/>
      <c r="K215" s="13"/>
      <c r="L215" s="18"/>
      <c r="M215" s="19" t="str">
        <f aca="false">IF(COUNT(H215,J215,L215)=0,"",MIN(H215,J215,L215))</f>
        <v/>
      </c>
      <c r="N215" s="14" t="str">
        <f aca="false">IF(M215="","",IF(H215=M215,G215,IF(J215=M215,I215,K215)))</f>
        <v/>
      </c>
      <c r="O215" s="19" t="str">
        <f aca="false">IF(M215="","",M215*F215)</f>
        <v/>
      </c>
      <c r="P215" s="18"/>
      <c r="Q215" s="18"/>
      <c r="R215" s="19" t="str">
        <f aca="false">IF(OR(P215="",Q215=""),"",P215-Q215)</f>
        <v/>
      </c>
      <c r="S215" s="19" t="str">
        <f aca="false">IF(R215="","",R215*F215)</f>
        <v/>
      </c>
      <c r="T215" s="20" t="str">
        <f aca="false">IF(OR(R215="",P215=0),"",R215/P215)</f>
        <v/>
      </c>
      <c r="U215" s="13"/>
    </row>
    <row r="216" customFormat="false" ht="15" hidden="false" customHeight="false" outlineLevel="0" collapsed="false">
      <c r="A216" s="13"/>
      <c r="B216" s="16"/>
      <c r="C216" s="13"/>
      <c r="D216" s="13"/>
      <c r="E216" s="13"/>
      <c r="F216" s="17"/>
      <c r="G216" s="13"/>
      <c r="H216" s="18"/>
      <c r="I216" s="13"/>
      <c r="J216" s="18"/>
      <c r="K216" s="13"/>
      <c r="L216" s="18"/>
      <c r="M216" s="19" t="str">
        <f aca="false">IF(COUNT(H216,J216,L216)=0,"",MIN(H216,J216,L216))</f>
        <v/>
      </c>
      <c r="N216" s="14" t="str">
        <f aca="false">IF(M216="","",IF(H216=M216,G216,IF(J216=M216,I216,K216)))</f>
        <v/>
      </c>
      <c r="O216" s="19" t="str">
        <f aca="false">IF(M216="","",M216*F216)</f>
        <v/>
      </c>
      <c r="P216" s="18"/>
      <c r="Q216" s="18"/>
      <c r="R216" s="19" t="str">
        <f aca="false">IF(OR(P216="",Q216=""),"",P216-Q216)</f>
        <v/>
      </c>
      <c r="S216" s="19" t="str">
        <f aca="false">IF(R216="","",R216*F216)</f>
        <v/>
      </c>
      <c r="T216" s="20" t="str">
        <f aca="false">IF(OR(R216="",P216=0),"",R216/P216)</f>
        <v/>
      </c>
      <c r="U216" s="13"/>
    </row>
    <row r="217" customFormat="false" ht="15" hidden="false" customHeight="false" outlineLevel="0" collapsed="false">
      <c r="A217" s="13"/>
      <c r="B217" s="16"/>
      <c r="C217" s="13"/>
      <c r="D217" s="13"/>
      <c r="E217" s="13"/>
      <c r="F217" s="17"/>
      <c r="G217" s="13"/>
      <c r="H217" s="18"/>
      <c r="I217" s="13"/>
      <c r="J217" s="18"/>
      <c r="K217" s="13"/>
      <c r="L217" s="18"/>
      <c r="M217" s="19" t="str">
        <f aca="false">IF(COUNT(H217,J217,L217)=0,"",MIN(H217,J217,L217))</f>
        <v/>
      </c>
      <c r="N217" s="14" t="str">
        <f aca="false">IF(M217="","",IF(H217=M217,G217,IF(J217=M217,I217,K217)))</f>
        <v/>
      </c>
      <c r="O217" s="19" t="str">
        <f aca="false">IF(M217="","",M217*F217)</f>
        <v/>
      </c>
      <c r="P217" s="18"/>
      <c r="Q217" s="18"/>
      <c r="R217" s="19" t="str">
        <f aca="false">IF(OR(P217="",Q217=""),"",P217-Q217)</f>
        <v/>
      </c>
      <c r="S217" s="19" t="str">
        <f aca="false">IF(R217="","",R217*F217)</f>
        <v/>
      </c>
      <c r="T217" s="20" t="str">
        <f aca="false">IF(OR(R217="",P217=0),"",R217/P217)</f>
        <v/>
      </c>
      <c r="U217" s="13"/>
    </row>
    <row r="218" customFormat="false" ht="15" hidden="false" customHeight="false" outlineLevel="0" collapsed="false">
      <c r="A218" s="13"/>
      <c r="B218" s="16"/>
      <c r="C218" s="13"/>
      <c r="D218" s="13"/>
      <c r="E218" s="13"/>
      <c r="F218" s="17"/>
      <c r="G218" s="13"/>
      <c r="H218" s="18"/>
      <c r="I218" s="13"/>
      <c r="J218" s="18"/>
      <c r="K218" s="13"/>
      <c r="L218" s="18"/>
      <c r="M218" s="19" t="str">
        <f aca="false">IF(COUNT(H218,J218,L218)=0,"",MIN(H218,J218,L218))</f>
        <v/>
      </c>
      <c r="N218" s="14" t="str">
        <f aca="false">IF(M218="","",IF(H218=M218,G218,IF(J218=M218,I218,K218)))</f>
        <v/>
      </c>
      <c r="O218" s="19" t="str">
        <f aca="false">IF(M218="","",M218*F218)</f>
        <v/>
      </c>
      <c r="P218" s="18"/>
      <c r="Q218" s="18"/>
      <c r="R218" s="19" t="str">
        <f aca="false">IF(OR(P218="",Q218=""),"",P218-Q218)</f>
        <v/>
      </c>
      <c r="S218" s="19" t="str">
        <f aca="false">IF(R218="","",R218*F218)</f>
        <v/>
      </c>
      <c r="T218" s="20" t="str">
        <f aca="false">IF(OR(R218="",P218=0),"",R218/P218)</f>
        <v/>
      </c>
      <c r="U218" s="13"/>
    </row>
    <row r="219" customFormat="false" ht="15" hidden="false" customHeight="false" outlineLevel="0" collapsed="false">
      <c r="A219" s="13"/>
      <c r="B219" s="16"/>
      <c r="C219" s="13"/>
      <c r="D219" s="13"/>
      <c r="E219" s="13"/>
      <c r="F219" s="17"/>
      <c r="G219" s="13"/>
      <c r="H219" s="18"/>
      <c r="I219" s="13"/>
      <c r="J219" s="18"/>
      <c r="K219" s="13"/>
      <c r="L219" s="18"/>
      <c r="M219" s="19" t="str">
        <f aca="false">IF(COUNT(H219,J219,L219)=0,"",MIN(H219,J219,L219))</f>
        <v/>
      </c>
      <c r="N219" s="14" t="str">
        <f aca="false">IF(M219="","",IF(H219=M219,G219,IF(J219=M219,I219,K219)))</f>
        <v/>
      </c>
      <c r="O219" s="19" t="str">
        <f aca="false">IF(M219="","",M219*F219)</f>
        <v/>
      </c>
      <c r="P219" s="18"/>
      <c r="Q219" s="18"/>
      <c r="R219" s="19" t="str">
        <f aca="false">IF(OR(P219="",Q219=""),"",P219-Q219)</f>
        <v/>
      </c>
      <c r="S219" s="19" t="str">
        <f aca="false">IF(R219="","",R219*F219)</f>
        <v/>
      </c>
      <c r="T219" s="20" t="str">
        <f aca="false">IF(OR(R219="",P219=0),"",R219/P219)</f>
        <v/>
      </c>
      <c r="U219" s="13"/>
    </row>
    <row r="220" customFormat="false" ht="15" hidden="false" customHeight="false" outlineLevel="0" collapsed="false">
      <c r="A220" s="13"/>
      <c r="B220" s="16"/>
      <c r="C220" s="13"/>
      <c r="D220" s="13"/>
      <c r="E220" s="13"/>
      <c r="F220" s="17"/>
      <c r="G220" s="13"/>
      <c r="H220" s="18"/>
      <c r="I220" s="13"/>
      <c r="J220" s="18"/>
      <c r="K220" s="13"/>
      <c r="L220" s="18"/>
      <c r="M220" s="19" t="str">
        <f aca="false">IF(COUNT(H220,J220,L220)=0,"",MIN(H220,J220,L220))</f>
        <v/>
      </c>
      <c r="N220" s="14" t="str">
        <f aca="false">IF(M220="","",IF(H220=M220,G220,IF(J220=M220,I220,K220)))</f>
        <v/>
      </c>
      <c r="O220" s="19" t="str">
        <f aca="false">IF(M220="","",M220*F220)</f>
        <v/>
      </c>
      <c r="P220" s="18"/>
      <c r="Q220" s="18"/>
      <c r="R220" s="19" t="str">
        <f aca="false">IF(OR(P220="",Q220=""),"",P220-Q220)</f>
        <v/>
      </c>
      <c r="S220" s="19" t="str">
        <f aca="false">IF(R220="","",R220*F220)</f>
        <v/>
      </c>
      <c r="T220" s="20" t="str">
        <f aca="false">IF(OR(R220="",P220=0),"",R220/P220)</f>
        <v/>
      </c>
      <c r="U220" s="13"/>
    </row>
    <row r="221" customFormat="false" ht="15" hidden="false" customHeight="false" outlineLevel="0" collapsed="false">
      <c r="A221" s="13"/>
      <c r="B221" s="16"/>
      <c r="C221" s="13"/>
      <c r="D221" s="13"/>
      <c r="E221" s="13"/>
      <c r="F221" s="17"/>
      <c r="G221" s="13"/>
      <c r="H221" s="18"/>
      <c r="I221" s="13"/>
      <c r="J221" s="18"/>
      <c r="K221" s="13"/>
      <c r="L221" s="18"/>
      <c r="M221" s="19" t="str">
        <f aca="false">IF(COUNT(H221,J221,L221)=0,"",MIN(H221,J221,L221))</f>
        <v/>
      </c>
      <c r="N221" s="14" t="str">
        <f aca="false">IF(M221="","",IF(H221=M221,G221,IF(J221=M221,I221,K221)))</f>
        <v/>
      </c>
      <c r="O221" s="19" t="str">
        <f aca="false">IF(M221="","",M221*F221)</f>
        <v/>
      </c>
      <c r="P221" s="18"/>
      <c r="Q221" s="18"/>
      <c r="R221" s="19" t="str">
        <f aca="false">IF(OR(P221="",Q221=""),"",P221-Q221)</f>
        <v/>
      </c>
      <c r="S221" s="19" t="str">
        <f aca="false">IF(R221="","",R221*F221)</f>
        <v/>
      </c>
      <c r="T221" s="20" t="str">
        <f aca="false">IF(OR(R221="",P221=0),"",R221/P221)</f>
        <v/>
      </c>
      <c r="U221" s="13"/>
    </row>
    <row r="222" customFormat="false" ht="15" hidden="false" customHeight="false" outlineLevel="0" collapsed="false">
      <c r="A222" s="13"/>
      <c r="B222" s="16"/>
      <c r="C222" s="13"/>
      <c r="D222" s="13"/>
      <c r="E222" s="13"/>
      <c r="F222" s="17"/>
      <c r="G222" s="13"/>
      <c r="H222" s="18"/>
      <c r="I222" s="13"/>
      <c r="J222" s="18"/>
      <c r="K222" s="13"/>
      <c r="L222" s="18"/>
      <c r="M222" s="19" t="str">
        <f aca="false">IF(COUNT(H222,J222,L222)=0,"",MIN(H222,J222,L222))</f>
        <v/>
      </c>
      <c r="N222" s="14" t="str">
        <f aca="false">IF(M222="","",IF(H222=M222,G222,IF(J222=M222,I222,K222)))</f>
        <v/>
      </c>
      <c r="O222" s="19" t="str">
        <f aca="false">IF(M222="","",M222*F222)</f>
        <v/>
      </c>
      <c r="P222" s="18"/>
      <c r="Q222" s="18"/>
      <c r="R222" s="19" t="str">
        <f aca="false">IF(OR(P222="",Q222=""),"",P222-Q222)</f>
        <v/>
      </c>
      <c r="S222" s="19" t="str">
        <f aca="false">IF(R222="","",R222*F222)</f>
        <v/>
      </c>
      <c r="T222" s="20" t="str">
        <f aca="false">IF(OR(R222="",P222=0),"",R222/P222)</f>
        <v/>
      </c>
      <c r="U222" s="13"/>
    </row>
    <row r="223" customFormat="false" ht="15" hidden="false" customHeight="false" outlineLevel="0" collapsed="false">
      <c r="A223" s="13"/>
      <c r="B223" s="16"/>
      <c r="C223" s="13"/>
      <c r="D223" s="13"/>
      <c r="E223" s="13"/>
      <c r="F223" s="17"/>
      <c r="G223" s="13"/>
      <c r="H223" s="18"/>
      <c r="I223" s="13"/>
      <c r="J223" s="18"/>
      <c r="K223" s="13"/>
      <c r="L223" s="18"/>
      <c r="M223" s="19" t="str">
        <f aca="false">IF(COUNT(H223,J223,L223)=0,"",MIN(H223,J223,L223))</f>
        <v/>
      </c>
      <c r="N223" s="14" t="str">
        <f aca="false">IF(M223="","",IF(H223=M223,G223,IF(J223=M223,I223,K223)))</f>
        <v/>
      </c>
      <c r="O223" s="19" t="str">
        <f aca="false">IF(M223="","",M223*F223)</f>
        <v/>
      </c>
      <c r="P223" s="18"/>
      <c r="Q223" s="18"/>
      <c r="R223" s="19" t="str">
        <f aca="false">IF(OR(P223="",Q223=""),"",P223-Q223)</f>
        <v/>
      </c>
      <c r="S223" s="19" t="str">
        <f aca="false">IF(R223="","",R223*F223)</f>
        <v/>
      </c>
      <c r="T223" s="20" t="str">
        <f aca="false">IF(OR(R223="",P223=0),"",R223/P223)</f>
        <v/>
      </c>
      <c r="U223" s="13"/>
    </row>
    <row r="224" customFormat="false" ht="15" hidden="false" customHeight="false" outlineLevel="0" collapsed="false">
      <c r="A224" s="13"/>
      <c r="B224" s="16"/>
      <c r="C224" s="13"/>
      <c r="D224" s="13"/>
      <c r="E224" s="13"/>
      <c r="F224" s="17"/>
      <c r="G224" s="13"/>
      <c r="H224" s="18"/>
      <c r="I224" s="13"/>
      <c r="J224" s="18"/>
      <c r="K224" s="13"/>
      <c r="L224" s="18"/>
      <c r="M224" s="19" t="str">
        <f aca="false">IF(COUNT(H224,J224,L224)=0,"",MIN(H224,J224,L224))</f>
        <v/>
      </c>
      <c r="N224" s="14" t="str">
        <f aca="false">IF(M224="","",IF(H224=M224,G224,IF(J224=M224,I224,K224)))</f>
        <v/>
      </c>
      <c r="O224" s="19" t="str">
        <f aca="false">IF(M224="","",M224*F224)</f>
        <v/>
      </c>
      <c r="P224" s="18"/>
      <c r="Q224" s="18"/>
      <c r="R224" s="19" t="str">
        <f aca="false">IF(OR(P224="",Q224=""),"",P224-Q224)</f>
        <v/>
      </c>
      <c r="S224" s="19" t="str">
        <f aca="false">IF(R224="","",R224*F224)</f>
        <v/>
      </c>
      <c r="T224" s="20" t="str">
        <f aca="false">IF(OR(R224="",P224=0),"",R224/P224)</f>
        <v/>
      </c>
      <c r="U224" s="13"/>
    </row>
    <row r="225" customFormat="false" ht="15" hidden="false" customHeight="false" outlineLevel="0" collapsed="false">
      <c r="A225" s="13"/>
      <c r="B225" s="16"/>
      <c r="C225" s="13"/>
      <c r="D225" s="13"/>
      <c r="E225" s="13"/>
      <c r="F225" s="17"/>
      <c r="G225" s="13"/>
      <c r="H225" s="18"/>
      <c r="I225" s="13"/>
      <c r="J225" s="18"/>
      <c r="K225" s="13"/>
      <c r="L225" s="18"/>
      <c r="M225" s="19" t="str">
        <f aca="false">IF(COUNT(H225,J225,L225)=0,"",MIN(H225,J225,L225))</f>
        <v/>
      </c>
      <c r="N225" s="14" t="str">
        <f aca="false">IF(M225="","",IF(H225=M225,G225,IF(J225=M225,I225,K225)))</f>
        <v/>
      </c>
      <c r="O225" s="19" t="str">
        <f aca="false">IF(M225="","",M225*F225)</f>
        <v/>
      </c>
      <c r="P225" s="18"/>
      <c r="Q225" s="18"/>
      <c r="R225" s="19" t="str">
        <f aca="false">IF(OR(P225="",Q225=""),"",P225-Q225)</f>
        <v/>
      </c>
      <c r="S225" s="19" t="str">
        <f aca="false">IF(R225="","",R225*F225)</f>
        <v/>
      </c>
      <c r="T225" s="20" t="str">
        <f aca="false">IF(OR(R225="",P225=0),"",R225/P225)</f>
        <v/>
      </c>
      <c r="U225" s="13"/>
    </row>
    <row r="226" customFormat="false" ht="15" hidden="false" customHeight="false" outlineLevel="0" collapsed="false">
      <c r="A226" s="13"/>
      <c r="B226" s="16"/>
      <c r="C226" s="13"/>
      <c r="D226" s="13"/>
      <c r="E226" s="13"/>
      <c r="F226" s="17"/>
      <c r="G226" s="13"/>
      <c r="H226" s="18"/>
      <c r="I226" s="13"/>
      <c r="J226" s="18"/>
      <c r="K226" s="13"/>
      <c r="L226" s="18"/>
      <c r="M226" s="19" t="str">
        <f aca="false">IF(COUNT(H226,J226,L226)=0,"",MIN(H226,J226,L226))</f>
        <v/>
      </c>
      <c r="N226" s="14" t="str">
        <f aca="false">IF(M226="","",IF(H226=M226,G226,IF(J226=M226,I226,K226)))</f>
        <v/>
      </c>
      <c r="O226" s="19" t="str">
        <f aca="false">IF(M226="","",M226*F226)</f>
        <v/>
      </c>
      <c r="P226" s="18"/>
      <c r="Q226" s="18"/>
      <c r="R226" s="19" t="str">
        <f aca="false">IF(OR(P226="",Q226=""),"",P226-Q226)</f>
        <v/>
      </c>
      <c r="S226" s="19" t="str">
        <f aca="false">IF(R226="","",R226*F226)</f>
        <v/>
      </c>
      <c r="T226" s="20" t="str">
        <f aca="false">IF(OR(R226="",P226=0),"",R226/P226)</f>
        <v/>
      </c>
      <c r="U226" s="13"/>
    </row>
    <row r="227" customFormat="false" ht="15" hidden="false" customHeight="false" outlineLevel="0" collapsed="false">
      <c r="A227" s="13"/>
      <c r="B227" s="16"/>
      <c r="C227" s="13"/>
      <c r="D227" s="13"/>
      <c r="E227" s="13"/>
      <c r="F227" s="17"/>
      <c r="G227" s="13"/>
      <c r="H227" s="18"/>
      <c r="I227" s="13"/>
      <c r="J227" s="18"/>
      <c r="K227" s="13"/>
      <c r="L227" s="18"/>
      <c r="M227" s="19" t="str">
        <f aca="false">IF(COUNT(H227,J227,L227)=0,"",MIN(H227,J227,L227))</f>
        <v/>
      </c>
      <c r="N227" s="14" t="str">
        <f aca="false">IF(M227="","",IF(H227=M227,G227,IF(J227=M227,I227,K227)))</f>
        <v/>
      </c>
      <c r="O227" s="19" t="str">
        <f aca="false">IF(M227="","",M227*F227)</f>
        <v/>
      </c>
      <c r="P227" s="18"/>
      <c r="Q227" s="18"/>
      <c r="R227" s="19" t="str">
        <f aca="false">IF(OR(P227="",Q227=""),"",P227-Q227)</f>
        <v/>
      </c>
      <c r="S227" s="19" t="str">
        <f aca="false">IF(R227="","",R227*F227)</f>
        <v/>
      </c>
      <c r="T227" s="20" t="str">
        <f aca="false">IF(OR(R227="",P227=0),"",R227/P227)</f>
        <v/>
      </c>
      <c r="U227" s="13"/>
    </row>
    <row r="228" customFormat="false" ht="15" hidden="false" customHeight="false" outlineLevel="0" collapsed="false">
      <c r="A228" s="13"/>
      <c r="B228" s="16"/>
      <c r="C228" s="13"/>
      <c r="D228" s="13"/>
      <c r="E228" s="13"/>
      <c r="F228" s="17"/>
      <c r="G228" s="13"/>
      <c r="H228" s="18"/>
      <c r="I228" s="13"/>
      <c r="J228" s="18"/>
      <c r="K228" s="13"/>
      <c r="L228" s="18"/>
      <c r="M228" s="19" t="str">
        <f aca="false">IF(COUNT(H228,J228,L228)=0,"",MIN(H228,J228,L228))</f>
        <v/>
      </c>
      <c r="N228" s="14" t="str">
        <f aca="false">IF(M228="","",IF(H228=M228,G228,IF(J228=M228,I228,K228)))</f>
        <v/>
      </c>
      <c r="O228" s="19" t="str">
        <f aca="false">IF(M228="","",M228*F228)</f>
        <v/>
      </c>
      <c r="P228" s="18"/>
      <c r="Q228" s="18"/>
      <c r="R228" s="19" t="str">
        <f aca="false">IF(OR(P228="",Q228=""),"",P228-Q228)</f>
        <v/>
      </c>
      <c r="S228" s="19" t="str">
        <f aca="false">IF(R228="","",R228*F228)</f>
        <v/>
      </c>
      <c r="T228" s="20" t="str">
        <f aca="false">IF(OR(R228="",P228=0),"",R228/P228)</f>
        <v/>
      </c>
      <c r="U228" s="13"/>
    </row>
    <row r="229" customFormat="false" ht="15" hidden="false" customHeight="false" outlineLevel="0" collapsed="false">
      <c r="A229" s="13"/>
      <c r="B229" s="16"/>
      <c r="C229" s="13"/>
      <c r="D229" s="13"/>
      <c r="E229" s="13"/>
      <c r="F229" s="17"/>
      <c r="G229" s="13"/>
      <c r="H229" s="18"/>
      <c r="I229" s="13"/>
      <c r="J229" s="18"/>
      <c r="K229" s="13"/>
      <c r="L229" s="18"/>
      <c r="M229" s="19" t="str">
        <f aca="false">IF(COUNT(H229,J229,L229)=0,"",MIN(H229,J229,L229))</f>
        <v/>
      </c>
      <c r="N229" s="14" t="str">
        <f aca="false">IF(M229="","",IF(H229=M229,G229,IF(J229=M229,I229,K229)))</f>
        <v/>
      </c>
      <c r="O229" s="19" t="str">
        <f aca="false">IF(M229="","",M229*F229)</f>
        <v/>
      </c>
      <c r="P229" s="18"/>
      <c r="Q229" s="18"/>
      <c r="R229" s="19" t="str">
        <f aca="false">IF(OR(P229="",Q229=""),"",P229-Q229)</f>
        <v/>
      </c>
      <c r="S229" s="19" t="str">
        <f aca="false">IF(R229="","",R229*F229)</f>
        <v/>
      </c>
      <c r="T229" s="20" t="str">
        <f aca="false">IF(OR(R229="",P229=0),"",R229/P229)</f>
        <v/>
      </c>
      <c r="U229" s="13"/>
    </row>
    <row r="230" customFormat="false" ht="15" hidden="false" customHeight="false" outlineLevel="0" collapsed="false">
      <c r="A230" s="13"/>
      <c r="B230" s="16"/>
      <c r="C230" s="13"/>
      <c r="D230" s="13"/>
      <c r="E230" s="13"/>
      <c r="F230" s="17"/>
      <c r="G230" s="13"/>
      <c r="H230" s="18"/>
      <c r="I230" s="13"/>
      <c r="J230" s="18"/>
      <c r="K230" s="13"/>
      <c r="L230" s="18"/>
      <c r="M230" s="19" t="str">
        <f aca="false">IF(COUNT(H230,J230,L230)=0,"",MIN(H230,J230,L230))</f>
        <v/>
      </c>
      <c r="N230" s="14" t="str">
        <f aca="false">IF(M230="","",IF(H230=M230,G230,IF(J230=M230,I230,K230)))</f>
        <v/>
      </c>
      <c r="O230" s="19" t="str">
        <f aca="false">IF(M230="","",M230*F230)</f>
        <v/>
      </c>
      <c r="P230" s="18"/>
      <c r="Q230" s="18"/>
      <c r="R230" s="19" t="str">
        <f aca="false">IF(OR(P230="",Q230=""),"",P230-Q230)</f>
        <v/>
      </c>
      <c r="S230" s="19" t="str">
        <f aca="false">IF(R230="","",R230*F230)</f>
        <v/>
      </c>
      <c r="T230" s="20" t="str">
        <f aca="false">IF(OR(R230="",P230=0),"",R230/P230)</f>
        <v/>
      </c>
      <c r="U230" s="13"/>
    </row>
    <row r="231" customFormat="false" ht="15" hidden="false" customHeight="false" outlineLevel="0" collapsed="false">
      <c r="A231" s="13"/>
      <c r="B231" s="16"/>
      <c r="C231" s="13"/>
      <c r="D231" s="13"/>
      <c r="E231" s="13"/>
      <c r="F231" s="17"/>
      <c r="G231" s="13"/>
      <c r="H231" s="18"/>
      <c r="I231" s="13"/>
      <c r="J231" s="18"/>
      <c r="K231" s="13"/>
      <c r="L231" s="18"/>
      <c r="M231" s="19" t="str">
        <f aca="false">IF(COUNT(H231,J231,L231)=0,"",MIN(H231,J231,L231))</f>
        <v/>
      </c>
      <c r="N231" s="14" t="str">
        <f aca="false">IF(M231="","",IF(H231=M231,G231,IF(J231=M231,I231,K231)))</f>
        <v/>
      </c>
      <c r="O231" s="19" t="str">
        <f aca="false">IF(M231="","",M231*F231)</f>
        <v/>
      </c>
      <c r="P231" s="18"/>
      <c r="Q231" s="18"/>
      <c r="R231" s="19" t="str">
        <f aca="false">IF(OR(P231="",Q231=""),"",P231-Q231)</f>
        <v/>
      </c>
      <c r="S231" s="19" t="str">
        <f aca="false">IF(R231="","",R231*F231)</f>
        <v/>
      </c>
      <c r="T231" s="20" t="str">
        <f aca="false">IF(OR(R231="",P231=0),"",R231/P231)</f>
        <v/>
      </c>
      <c r="U231" s="13"/>
    </row>
    <row r="232" customFormat="false" ht="15" hidden="false" customHeight="false" outlineLevel="0" collapsed="false">
      <c r="A232" s="13"/>
      <c r="B232" s="16"/>
      <c r="C232" s="13"/>
      <c r="D232" s="13"/>
      <c r="E232" s="13"/>
      <c r="F232" s="17"/>
      <c r="G232" s="13"/>
      <c r="H232" s="18"/>
      <c r="I232" s="13"/>
      <c r="J232" s="18"/>
      <c r="K232" s="13"/>
      <c r="L232" s="18"/>
      <c r="M232" s="19" t="str">
        <f aca="false">IF(COUNT(H232,J232,L232)=0,"",MIN(H232,J232,L232))</f>
        <v/>
      </c>
      <c r="N232" s="14" t="str">
        <f aca="false">IF(M232="","",IF(H232=M232,G232,IF(J232=M232,I232,K232)))</f>
        <v/>
      </c>
      <c r="O232" s="19" t="str">
        <f aca="false">IF(M232="","",M232*F232)</f>
        <v/>
      </c>
      <c r="P232" s="18"/>
      <c r="Q232" s="18"/>
      <c r="R232" s="19" t="str">
        <f aca="false">IF(OR(P232="",Q232=""),"",P232-Q232)</f>
        <v/>
      </c>
      <c r="S232" s="19" t="str">
        <f aca="false">IF(R232="","",R232*F232)</f>
        <v/>
      </c>
      <c r="T232" s="20" t="str">
        <f aca="false">IF(OR(R232="",P232=0),"",R232/P232)</f>
        <v/>
      </c>
      <c r="U232" s="13"/>
    </row>
    <row r="233" customFormat="false" ht="15" hidden="false" customHeight="false" outlineLevel="0" collapsed="false">
      <c r="A233" s="13"/>
      <c r="B233" s="16"/>
      <c r="C233" s="13"/>
      <c r="D233" s="13"/>
      <c r="E233" s="13"/>
      <c r="F233" s="17"/>
      <c r="G233" s="13"/>
      <c r="H233" s="18"/>
      <c r="I233" s="13"/>
      <c r="J233" s="18"/>
      <c r="K233" s="13"/>
      <c r="L233" s="18"/>
      <c r="M233" s="19" t="str">
        <f aca="false">IF(COUNT(H233,J233,L233)=0,"",MIN(H233,J233,L233))</f>
        <v/>
      </c>
      <c r="N233" s="14" t="str">
        <f aca="false">IF(M233="","",IF(H233=M233,G233,IF(J233=M233,I233,K233)))</f>
        <v/>
      </c>
      <c r="O233" s="19" t="str">
        <f aca="false">IF(M233="","",M233*F233)</f>
        <v/>
      </c>
      <c r="P233" s="18"/>
      <c r="Q233" s="18"/>
      <c r="R233" s="19" t="str">
        <f aca="false">IF(OR(P233="",Q233=""),"",P233-Q233)</f>
        <v/>
      </c>
      <c r="S233" s="19" t="str">
        <f aca="false">IF(R233="","",R233*F233)</f>
        <v/>
      </c>
      <c r="T233" s="20" t="str">
        <f aca="false">IF(OR(R233="",P233=0),"",R233/P233)</f>
        <v/>
      </c>
      <c r="U233" s="13"/>
    </row>
    <row r="234" customFormat="false" ht="15" hidden="false" customHeight="false" outlineLevel="0" collapsed="false">
      <c r="A234" s="13"/>
      <c r="B234" s="16"/>
      <c r="C234" s="13"/>
      <c r="D234" s="13"/>
      <c r="E234" s="13"/>
      <c r="F234" s="17"/>
      <c r="G234" s="13"/>
      <c r="H234" s="18"/>
      <c r="I234" s="13"/>
      <c r="J234" s="18"/>
      <c r="K234" s="13"/>
      <c r="L234" s="18"/>
      <c r="M234" s="19" t="str">
        <f aca="false">IF(COUNT(H234,J234,L234)=0,"",MIN(H234,J234,L234))</f>
        <v/>
      </c>
      <c r="N234" s="14" t="str">
        <f aca="false">IF(M234="","",IF(H234=M234,G234,IF(J234=M234,I234,K234)))</f>
        <v/>
      </c>
      <c r="O234" s="19" t="str">
        <f aca="false">IF(M234="","",M234*F234)</f>
        <v/>
      </c>
      <c r="P234" s="18"/>
      <c r="Q234" s="18"/>
      <c r="R234" s="19" t="str">
        <f aca="false">IF(OR(P234="",Q234=""),"",P234-Q234)</f>
        <v/>
      </c>
      <c r="S234" s="19" t="str">
        <f aca="false">IF(R234="","",R234*F234)</f>
        <v/>
      </c>
      <c r="T234" s="20" t="str">
        <f aca="false">IF(OR(R234="",P234=0),"",R234/P234)</f>
        <v/>
      </c>
      <c r="U234" s="13"/>
    </row>
    <row r="235" customFormat="false" ht="15" hidden="false" customHeight="false" outlineLevel="0" collapsed="false">
      <c r="A235" s="13"/>
      <c r="B235" s="16"/>
      <c r="C235" s="13"/>
      <c r="D235" s="13"/>
      <c r="E235" s="13"/>
      <c r="F235" s="17"/>
      <c r="G235" s="13"/>
      <c r="H235" s="18"/>
      <c r="I235" s="13"/>
      <c r="J235" s="18"/>
      <c r="K235" s="13"/>
      <c r="L235" s="18"/>
      <c r="M235" s="19" t="str">
        <f aca="false">IF(COUNT(H235,J235,L235)=0,"",MIN(H235,J235,L235))</f>
        <v/>
      </c>
      <c r="N235" s="14" t="str">
        <f aca="false">IF(M235="","",IF(H235=M235,G235,IF(J235=M235,I235,K235)))</f>
        <v/>
      </c>
      <c r="O235" s="19" t="str">
        <f aca="false">IF(M235="","",M235*F235)</f>
        <v/>
      </c>
      <c r="P235" s="18"/>
      <c r="Q235" s="18"/>
      <c r="R235" s="19" t="str">
        <f aca="false">IF(OR(P235="",Q235=""),"",P235-Q235)</f>
        <v/>
      </c>
      <c r="S235" s="19" t="str">
        <f aca="false">IF(R235="","",R235*F235)</f>
        <v/>
      </c>
      <c r="T235" s="20" t="str">
        <f aca="false">IF(OR(R235="",P235=0),"",R235/P235)</f>
        <v/>
      </c>
      <c r="U235" s="13"/>
    </row>
    <row r="236" customFormat="false" ht="15" hidden="false" customHeight="false" outlineLevel="0" collapsed="false">
      <c r="A236" s="13"/>
      <c r="B236" s="16"/>
      <c r="C236" s="13"/>
      <c r="D236" s="13"/>
      <c r="E236" s="13"/>
      <c r="F236" s="17"/>
      <c r="G236" s="13"/>
      <c r="H236" s="18"/>
      <c r="I236" s="13"/>
      <c r="J236" s="18"/>
      <c r="K236" s="13"/>
      <c r="L236" s="18"/>
      <c r="M236" s="19" t="str">
        <f aca="false">IF(COUNT(H236,J236,L236)=0,"",MIN(H236,J236,L236))</f>
        <v/>
      </c>
      <c r="N236" s="14" t="str">
        <f aca="false">IF(M236="","",IF(H236=M236,G236,IF(J236=M236,I236,K236)))</f>
        <v/>
      </c>
      <c r="O236" s="19" t="str">
        <f aca="false">IF(M236="","",M236*F236)</f>
        <v/>
      </c>
      <c r="P236" s="18"/>
      <c r="Q236" s="18"/>
      <c r="R236" s="19" t="str">
        <f aca="false">IF(OR(P236="",Q236=""),"",P236-Q236)</f>
        <v/>
      </c>
      <c r="S236" s="19" t="str">
        <f aca="false">IF(R236="","",R236*F236)</f>
        <v/>
      </c>
      <c r="T236" s="20" t="str">
        <f aca="false">IF(OR(R236="",P236=0),"",R236/P236)</f>
        <v/>
      </c>
      <c r="U236" s="13"/>
    </row>
    <row r="237" customFormat="false" ht="15" hidden="false" customHeight="false" outlineLevel="0" collapsed="false">
      <c r="A237" s="13"/>
      <c r="B237" s="16"/>
      <c r="C237" s="13"/>
      <c r="D237" s="13"/>
      <c r="E237" s="13"/>
      <c r="F237" s="17"/>
      <c r="G237" s="13"/>
      <c r="H237" s="18"/>
      <c r="I237" s="13"/>
      <c r="J237" s="18"/>
      <c r="K237" s="13"/>
      <c r="L237" s="18"/>
      <c r="M237" s="19" t="str">
        <f aca="false">IF(COUNT(H237,J237,L237)=0,"",MIN(H237,J237,L237))</f>
        <v/>
      </c>
      <c r="N237" s="14" t="str">
        <f aca="false">IF(M237="","",IF(H237=M237,G237,IF(J237=M237,I237,K237)))</f>
        <v/>
      </c>
      <c r="O237" s="19" t="str">
        <f aca="false">IF(M237="","",M237*F237)</f>
        <v/>
      </c>
      <c r="P237" s="18"/>
      <c r="Q237" s="18"/>
      <c r="R237" s="19" t="str">
        <f aca="false">IF(OR(P237="",Q237=""),"",P237-Q237)</f>
        <v/>
      </c>
      <c r="S237" s="19" t="str">
        <f aca="false">IF(R237="","",R237*F237)</f>
        <v/>
      </c>
      <c r="T237" s="20" t="str">
        <f aca="false">IF(OR(R237="",P237=0),"",R237/P237)</f>
        <v/>
      </c>
      <c r="U237" s="13"/>
    </row>
    <row r="238" customFormat="false" ht="15" hidden="false" customHeight="false" outlineLevel="0" collapsed="false">
      <c r="A238" s="13"/>
      <c r="B238" s="16"/>
      <c r="C238" s="13"/>
      <c r="D238" s="13"/>
      <c r="E238" s="13"/>
      <c r="F238" s="17"/>
      <c r="G238" s="13"/>
      <c r="H238" s="18"/>
      <c r="I238" s="13"/>
      <c r="J238" s="18"/>
      <c r="K238" s="13"/>
      <c r="L238" s="18"/>
      <c r="M238" s="19" t="str">
        <f aca="false">IF(COUNT(H238,J238,L238)=0,"",MIN(H238,J238,L238))</f>
        <v/>
      </c>
      <c r="N238" s="14" t="str">
        <f aca="false">IF(M238="","",IF(H238=M238,G238,IF(J238=M238,I238,K238)))</f>
        <v/>
      </c>
      <c r="O238" s="19" t="str">
        <f aca="false">IF(M238="","",M238*F238)</f>
        <v/>
      </c>
      <c r="P238" s="18"/>
      <c r="Q238" s="18"/>
      <c r="R238" s="19" t="str">
        <f aca="false">IF(OR(P238="",Q238=""),"",P238-Q238)</f>
        <v/>
      </c>
      <c r="S238" s="19" t="str">
        <f aca="false">IF(R238="","",R238*F238)</f>
        <v/>
      </c>
      <c r="T238" s="20" t="str">
        <f aca="false">IF(OR(R238="",P238=0),"",R238/P238)</f>
        <v/>
      </c>
      <c r="U238" s="13"/>
    </row>
    <row r="239" customFormat="false" ht="15" hidden="false" customHeight="false" outlineLevel="0" collapsed="false">
      <c r="A239" s="13"/>
      <c r="B239" s="16"/>
      <c r="C239" s="13"/>
      <c r="D239" s="13"/>
      <c r="E239" s="13"/>
      <c r="F239" s="17"/>
      <c r="G239" s="13"/>
      <c r="H239" s="18"/>
      <c r="I239" s="13"/>
      <c r="J239" s="18"/>
      <c r="K239" s="13"/>
      <c r="L239" s="18"/>
      <c r="M239" s="19" t="str">
        <f aca="false">IF(COUNT(H239,J239,L239)=0,"",MIN(H239,J239,L239))</f>
        <v/>
      </c>
      <c r="N239" s="14" t="str">
        <f aca="false">IF(M239="","",IF(H239=M239,G239,IF(J239=M239,I239,K239)))</f>
        <v/>
      </c>
      <c r="O239" s="19" t="str">
        <f aca="false">IF(M239="","",M239*F239)</f>
        <v/>
      </c>
      <c r="P239" s="18"/>
      <c r="Q239" s="18"/>
      <c r="R239" s="19" t="str">
        <f aca="false">IF(OR(P239="",Q239=""),"",P239-Q239)</f>
        <v/>
      </c>
      <c r="S239" s="19" t="str">
        <f aca="false">IF(R239="","",R239*F239)</f>
        <v/>
      </c>
      <c r="T239" s="20" t="str">
        <f aca="false">IF(OR(R239="",P239=0),"",R239/P239)</f>
        <v/>
      </c>
      <c r="U239" s="13"/>
    </row>
    <row r="240" customFormat="false" ht="15" hidden="false" customHeight="false" outlineLevel="0" collapsed="false">
      <c r="A240" s="13"/>
      <c r="B240" s="16"/>
      <c r="C240" s="13"/>
      <c r="D240" s="13"/>
      <c r="E240" s="13"/>
      <c r="F240" s="17"/>
      <c r="G240" s="13"/>
      <c r="H240" s="18"/>
      <c r="I240" s="13"/>
      <c r="J240" s="18"/>
      <c r="K240" s="13"/>
      <c r="L240" s="18"/>
      <c r="M240" s="19" t="str">
        <f aca="false">IF(COUNT(H240,J240,L240)=0,"",MIN(H240,J240,L240))</f>
        <v/>
      </c>
      <c r="N240" s="14" t="str">
        <f aca="false">IF(M240="","",IF(H240=M240,G240,IF(J240=M240,I240,K240)))</f>
        <v/>
      </c>
      <c r="O240" s="19" t="str">
        <f aca="false">IF(M240="","",M240*F240)</f>
        <v/>
      </c>
      <c r="P240" s="18"/>
      <c r="Q240" s="18"/>
      <c r="R240" s="19" t="str">
        <f aca="false">IF(OR(P240="",Q240=""),"",P240-Q240)</f>
        <v/>
      </c>
      <c r="S240" s="19" t="str">
        <f aca="false">IF(R240="","",R240*F240)</f>
        <v/>
      </c>
      <c r="T240" s="20" t="str">
        <f aca="false">IF(OR(R240="",P240=0),"",R240/P240)</f>
        <v/>
      </c>
      <c r="U240" s="13"/>
    </row>
    <row r="241" customFormat="false" ht="15" hidden="false" customHeight="false" outlineLevel="0" collapsed="false">
      <c r="A241" s="13"/>
      <c r="B241" s="16"/>
      <c r="C241" s="13"/>
      <c r="D241" s="13"/>
      <c r="E241" s="13"/>
      <c r="F241" s="17"/>
      <c r="G241" s="13"/>
      <c r="H241" s="18"/>
      <c r="I241" s="13"/>
      <c r="J241" s="18"/>
      <c r="K241" s="13"/>
      <c r="L241" s="18"/>
      <c r="M241" s="19" t="str">
        <f aca="false">IF(COUNT(H241,J241,L241)=0,"",MIN(H241,J241,L241))</f>
        <v/>
      </c>
      <c r="N241" s="14" t="str">
        <f aca="false">IF(M241="","",IF(H241=M241,G241,IF(J241=M241,I241,K241)))</f>
        <v/>
      </c>
      <c r="O241" s="19" t="str">
        <f aca="false">IF(M241="","",M241*F241)</f>
        <v/>
      </c>
      <c r="P241" s="18"/>
      <c r="Q241" s="18"/>
      <c r="R241" s="19" t="str">
        <f aca="false">IF(OR(P241="",Q241=""),"",P241-Q241)</f>
        <v/>
      </c>
      <c r="S241" s="19" t="str">
        <f aca="false">IF(R241="","",R241*F241)</f>
        <v/>
      </c>
      <c r="T241" s="20" t="str">
        <f aca="false">IF(OR(R241="",P241=0),"",R241/P241)</f>
        <v/>
      </c>
      <c r="U241" s="13"/>
    </row>
    <row r="242" customFormat="false" ht="15" hidden="false" customHeight="false" outlineLevel="0" collapsed="false">
      <c r="A242" s="13"/>
      <c r="B242" s="16"/>
      <c r="C242" s="13"/>
      <c r="D242" s="13"/>
      <c r="E242" s="13"/>
      <c r="F242" s="17"/>
      <c r="G242" s="13"/>
      <c r="H242" s="18"/>
      <c r="I242" s="13"/>
      <c r="J242" s="18"/>
      <c r="K242" s="13"/>
      <c r="L242" s="18"/>
      <c r="M242" s="19" t="str">
        <f aca="false">IF(COUNT(H242,J242,L242)=0,"",MIN(H242,J242,L242))</f>
        <v/>
      </c>
      <c r="N242" s="14" t="str">
        <f aca="false">IF(M242="","",IF(H242=M242,G242,IF(J242=M242,I242,K242)))</f>
        <v/>
      </c>
      <c r="O242" s="19" t="str">
        <f aca="false">IF(M242="","",M242*F242)</f>
        <v/>
      </c>
      <c r="P242" s="18"/>
      <c r="Q242" s="18"/>
      <c r="R242" s="19" t="str">
        <f aca="false">IF(OR(P242="",Q242=""),"",P242-Q242)</f>
        <v/>
      </c>
      <c r="S242" s="19" t="str">
        <f aca="false">IF(R242="","",R242*F242)</f>
        <v/>
      </c>
      <c r="T242" s="20" t="str">
        <f aca="false">IF(OR(R242="",P242=0),"",R242/P242)</f>
        <v/>
      </c>
      <c r="U242" s="13"/>
    </row>
    <row r="243" customFormat="false" ht="15" hidden="false" customHeight="false" outlineLevel="0" collapsed="false">
      <c r="A243" s="13"/>
      <c r="B243" s="16"/>
      <c r="C243" s="13"/>
      <c r="D243" s="13"/>
      <c r="E243" s="13"/>
      <c r="F243" s="17"/>
      <c r="G243" s="13"/>
      <c r="H243" s="18"/>
      <c r="I243" s="13"/>
      <c r="J243" s="18"/>
      <c r="K243" s="13"/>
      <c r="L243" s="18"/>
      <c r="M243" s="19" t="str">
        <f aca="false">IF(COUNT(H243,J243,L243)=0,"",MIN(H243,J243,L243))</f>
        <v/>
      </c>
      <c r="N243" s="14" t="str">
        <f aca="false">IF(M243="","",IF(H243=M243,G243,IF(J243=M243,I243,K243)))</f>
        <v/>
      </c>
      <c r="O243" s="19" t="str">
        <f aca="false">IF(M243="","",M243*F243)</f>
        <v/>
      </c>
      <c r="P243" s="18"/>
      <c r="Q243" s="18"/>
      <c r="R243" s="19" t="str">
        <f aca="false">IF(OR(P243="",Q243=""),"",P243-Q243)</f>
        <v/>
      </c>
      <c r="S243" s="19" t="str">
        <f aca="false">IF(R243="","",R243*F243)</f>
        <v/>
      </c>
      <c r="T243" s="20" t="str">
        <f aca="false">IF(OR(R243="",P243=0),"",R243/P243)</f>
        <v/>
      </c>
      <c r="U243" s="13"/>
    </row>
    <row r="244" customFormat="false" ht="15" hidden="false" customHeight="false" outlineLevel="0" collapsed="false">
      <c r="A244" s="13"/>
      <c r="B244" s="16"/>
      <c r="C244" s="13"/>
      <c r="D244" s="13"/>
      <c r="E244" s="13"/>
      <c r="F244" s="17"/>
      <c r="G244" s="13"/>
      <c r="H244" s="18"/>
      <c r="I244" s="13"/>
      <c r="J244" s="18"/>
      <c r="K244" s="13"/>
      <c r="L244" s="18"/>
      <c r="M244" s="19" t="str">
        <f aca="false">IF(COUNT(H244,J244,L244)=0,"",MIN(H244,J244,L244))</f>
        <v/>
      </c>
      <c r="N244" s="14" t="str">
        <f aca="false">IF(M244="","",IF(H244=M244,G244,IF(J244=M244,I244,K244)))</f>
        <v/>
      </c>
      <c r="O244" s="19" t="str">
        <f aca="false">IF(M244="","",M244*F244)</f>
        <v/>
      </c>
      <c r="P244" s="18"/>
      <c r="Q244" s="18"/>
      <c r="R244" s="19" t="str">
        <f aca="false">IF(OR(P244="",Q244=""),"",P244-Q244)</f>
        <v/>
      </c>
      <c r="S244" s="19" t="str">
        <f aca="false">IF(R244="","",R244*F244)</f>
        <v/>
      </c>
      <c r="T244" s="20" t="str">
        <f aca="false">IF(OR(R244="",P244=0),"",R244/P244)</f>
        <v/>
      </c>
      <c r="U244" s="13"/>
    </row>
    <row r="245" customFormat="false" ht="15" hidden="false" customHeight="false" outlineLevel="0" collapsed="false">
      <c r="A245" s="13"/>
      <c r="B245" s="16"/>
      <c r="C245" s="13"/>
      <c r="D245" s="13"/>
      <c r="E245" s="13"/>
      <c r="F245" s="17"/>
      <c r="G245" s="13"/>
      <c r="H245" s="18"/>
      <c r="I245" s="13"/>
      <c r="J245" s="18"/>
      <c r="K245" s="13"/>
      <c r="L245" s="18"/>
      <c r="M245" s="19" t="str">
        <f aca="false">IF(COUNT(H245,J245,L245)=0,"",MIN(H245,J245,L245))</f>
        <v/>
      </c>
      <c r="N245" s="14" t="str">
        <f aca="false">IF(M245="","",IF(H245=M245,G245,IF(J245=M245,I245,K245)))</f>
        <v/>
      </c>
      <c r="O245" s="19" t="str">
        <f aca="false">IF(M245="","",M245*F245)</f>
        <v/>
      </c>
      <c r="P245" s="18"/>
      <c r="Q245" s="18"/>
      <c r="R245" s="19" t="str">
        <f aca="false">IF(OR(P245="",Q245=""),"",P245-Q245)</f>
        <v/>
      </c>
      <c r="S245" s="19" t="str">
        <f aca="false">IF(R245="","",R245*F245)</f>
        <v/>
      </c>
      <c r="T245" s="20" t="str">
        <f aca="false">IF(OR(R245="",P245=0),"",R245/P245)</f>
        <v/>
      </c>
      <c r="U245" s="13"/>
    </row>
    <row r="246" customFormat="false" ht="15" hidden="false" customHeight="false" outlineLevel="0" collapsed="false">
      <c r="A246" s="13"/>
      <c r="B246" s="16"/>
      <c r="C246" s="13"/>
      <c r="D246" s="13"/>
      <c r="E246" s="13"/>
      <c r="F246" s="17"/>
      <c r="G246" s="13"/>
      <c r="H246" s="18"/>
      <c r="I246" s="13"/>
      <c r="J246" s="18"/>
      <c r="K246" s="13"/>
      <c r="L246" s="18"/>
      <c r="M246" s="19" t="str">
        <f aca="false">IF(COUNT(H246,J246,L246)=0,"",MIN(H246,J246,L246))</f>
        <v/>
      </c>
      <c r="N246" s="14" t="str">
        <f aca="false">IF(M246="","",IF(H246=M246,G246,IF(J246=M246,I246,K246)))</f>
        <v/>
      </c>
      <c r="O246" s="19" t="str">
        <f aca="false">IF(M246="","",M246*F246)</f>
        <v/>
      </c>
      <c r="P246" s="18"/>
      <c r="Q246" s="18"/>
      <c r="R246" s="19" t="str">
        <f aca="false">IF(OR(P246="",Q246=""),"",P246-Q246)</f>
        <v/>
      </c>
      <c r="S246" s="19" t="str">
        <f aca="false">IF(R246="","",R246*F246)</f>
        <v/>
      </c>
      <c r="T246" s="20" t="str">
        <f aca="false">IF(OR(R246="",P246=0),"",R246/P246)</f>
        <v/>
      </c>
      <c r="U246" s="13"/>
    </row>
    <row r="247" customFormat="false" ht="15" hidden="false" customHeight="false" outlineLevel="0" collapsed="false">
      <c r="A247" s="13"/>
      <c r="B247" s="16"/>
      <c r="C247" s="13"/>
      <c r="D247" s="13"/>
      <c r="E247" s="13"/>
      <c r="F247" s="17"/>
      <c r="G247" s="13"/>
      <c r="H247" s="18"/>
      <c r="I247" s="13"/>
      <c r="J247" s="18"/>
      <c r="K247" s="13"/>
      <c r="L247" s="18"/>
      <c r="M247" s="19" t="str">
        <f aca="false">IF(COUNT(H247,J247,L247)=0,"",MIN(H247,J247,L247))</f>
        <v/>
      </c>
      <c r="N247" s="14" t="str">
        <f aca="false">IF(M247="","",IF(H247=M247,G247,IF(J247=M247,I247,K247)))</f>
        <v/>
      </c>
      <c r="O247" s="19" t="str">
        <f aca="false">IF(M247="","",M247*F247)</f>
        <v/>
      </c>
      <c r="P247" s="18"/>
      <c r="Q247" s="18"/>
      <c r="R247" s="19" t="str">
        <f aca="false">IF(OR(P247="",Q247=""),"",P247-Q247)</f>
        <v/>
      </c>
      <c r="S247" s="19" t="str">
        <f aca="false">IF(R247="","",R247*F247)</f>
        <v/>
      </c>
      <c r="T247" s="20" t="str">
        <f aca="false">IF(OR(R247="",P247=0),"",R247/P247)</f>
        <v/>
      </c>
      <c r="U247" s="13"/>
    </row>
    <row r="248" customFormat="false" ht="15" hidden="false" customHeight="false" outlineLevel="0" collapsed="false">
      <c r="A248" s="13"/>
      <c r="B248" s="16"/>
      <c r="C248" s="13"/>
      <c r="D248" s="13"/>
      <c r="E248" s="13"/>
      <c r="F248" s="17"/>
      <c r="G248" s="13"/>
      <c r="H248" s="18"/>
      <c r="I248" s="13"/>
      <c r="J248" s="18"/>
      <c r="K248" s="13"/>
      <c r="L248" s="18"/>
      <c r="M248" s="19" t="str">
        <f aca="false">IF(COUNT(H248,J248,L248)=0,"",MIN(H248,J248,L248))</f>
        <v/>
      </c>
      <c r="N248" s="14" t="str">
        <f aca="false">IF(M248="","",IF(H248=M248,G248,IF(J248=M248,I248,K248)))</f>
        <v/>
      </c>
      <c r="O248" s="19" t="str">
        <f aca="false">IF(M248="","",M248*F248)</f>
        <v/>
      </c>
      <c r="P248" s="18"/>
      <c r="Q248" s="18"/>
      <c r="R248" s="19" t="str">
        <f aca="false">IF(OR(P248="",Q248=""),"",P248-Q248)</f>
        <v/>
      </c>
      <c r="S248" s="19" t="str">
        <f aca="false">IF(R248="","",R248*F248)</f>
        <v/>
      </c>
      <c r="T248" s="20" t="str">
        <f aca="false">IF(OR(R248="",P248=0),"",R248/P248)</f>
        <v/>
      </c>
      <c r="U248" s="13"/>
    </row>
    <row r="249" customFormat="false" ht="15" hidden="false" customHeight="false" outlineLevel="0" collapsed="false">
      <c r="A249" s="13"/>
      <c r="B249" s="16"/>
      <c r="C249" s="13"/>
      <c r="D249" s="13"/>
      <c r="E249" s="13"/>
      <c r="F249" s="17"/>
      <c r="G249" s="13"/>
      <c r="H249" s="18"/>
      <c r="I249" s="13"/>
      <c r="J249" s="18"/>
      <c r="K249" s="13"/>
      <c r="L249" s="18"/>
      <c r="M249" s="19" t="str">
        <f aca="false">IF(COUNT(H249,J249,L249)=0,"",MIN(H249,J249,L249))</f>
        <v/>
      </c>
      <c r="N249" s="14" t="str">
        <f aca="false">IF(M249="","",IF(H249=M249,G249,IF(J249=M249,I249,K249)))</f>
        <v/>
      </c>
      <c r="O249" s="19" t="str">
        <f aca="false">IF(M249="","",M249*F249)</f>
        <v/>
      </c>
      <c r="P249" s="18"/>
      <c r="Q249" s="18"/>
      <c r="R249" s="19" t="str">
        <f aca="false">IF(OR(P249="",Q249=""),"",P249-Q249)</f>
        <v/>
      </c>
      <c r="S249" s="19" t="str">
        <f aca="false">IF(R249="","",R249*F249)</f>
        <v/>
      </c>
      <c r="T249" s="20" t="str">
        <f aca="false">IF(OR(R249="",P249=0),"",R249/P249)</f>
        <v/>
      </c>
      <c r="U249" s="13"/>
    </row>
    <row r="250" customFormat="false" ht="15" hidden="false" customHeight="false" outlineLevel="0" collapsed="false">
      <c r="A250" s="13"/>
      <c r="B250" s="16"/>
      <c r="C250" s="13"/>
      <c r="D250" s="13"/>
      <c r="E250" s="13"/>
      <c r="F250" s="17"/>
      <c r="G250" s="13"/>
      <c r="H250" s="18"/>
      <c r="I250" s="13"/>
      <c r="J250" s="18"/>
      <c r="K250" s="13"/>
      <c r="L250" s="18"/>
      <c r="M250" s="19" t="str">
        <f aca="false">IF(COUNT(H250,J250,L250)=0,"",MIN(H250,J250,L250))</f>
        <v/>
      </c>
      <c r="N250" s="14" t="str">
        <f aca="false">IF(M250="","",IF(H250=M250,G250,IF(J250=M250,I250,K250)))</f>
        <v/>
      </c>
      <c r="O250" s="19" t="str">
        <f aca="false">IF(M250="","",M250*F250)</f>
        <v/>
      </c>
      <c r="P250" s="18"/>
      <c r="Q250" s="18"/>
      <c r="R250" s="19" t="str">
        <f aca="false">IF(OR(P250="",Q250=""),"",P250-Q250)</f>
        <v/>
      </c>
      <c r="S250" s="19" t="str">
        <f aca="false">IF(R250="","",R250*F250)</f>
        <v/>
      </c>
      <c r="T250" s="20" t="str">
        <f aca="false">IF(OR(R250="",P250=0),"",R250/P250)</f>
        <v/>
      </c>
      <c r="U250" s="13"/>
    </row>
    <row r="251" customFormat="false" ht="15" hidden="false" customHeight="false" outlineLevel="0" collapsed="false">
      <c r="A251" s="13"/>
      <c r="B251" s="16"/>
      <c r="C251" s="13"/>
      <c r="D251" s="13"/>
      <c r="E251" s="13"/>
      <c r="F251" s="17"/>
      <c r="G251" s="13"/>
      <c r="H251" s="18"/>
      <c r="I251" s="13"/>
      <c r="J251" s="18"/>
      <c r="K251" s="13"/>
      <c r="L251" s="18"/>
      <c r="M251" s="19" t="str">
        <f aca="false">IF(COUNT(H251,J251,L251)=0,"",MIN(H251,J251,L251))</f>
        <v/>
      </c>
      <c r="N251" s="14" t="str">
        <f aca="false">IF(M251="","",IF(H251=M251,G251,IF(J251=M251,I251,K251)))</f>
        <v/>
      </c>
      <c r="O251" s="19" t="str">
        <f aca="false">IF(M251="","",M251*F251)</f>
        <v/>
      </c>
      <c r="P251" s="18"/>
      <c r="Q251" s="18"/>
      <c r="R251" s="19" t="str">
        <f aca="false">IF(OR(P251="",Q251=""),"",P251-Q251)</f>
        <v/>
      </c>
      <c r="S251" s="19" t="str">
        <f aca="false">IF(R251="","",R251*F251)</f>
        <v/>
      </c>
      <c r="T251" s="20" t="str">
        <f aca="false">IF(OR(R251="",P251=0),"",R251/P251)</f>
        <v/>
      </c>
      <c r="U251" s="13"/>
    </row>
    <row r="252" customFormat="false" ht="15" hidden="false" customHeight="false" outlineLevel="0" collapsed="false">
      <c r="A252" s="13"/>
      <c r="B252" s="16"/>
      <c r="C252" s="13"/>
      <c r="D252" s="13"/>
      <c r="E252" s="13"/>
      <c r="F252" s="17"/>
      <c r="G252" s="13"/>
      <c r="H252" s="18"/>
      <c r="I252" s="13"/>
      <c r="J252" s="18"/>
      <c r="K252" s="13"/>
      <c r="L252" s="18"/>
      <c r="M252" s="19" t="str">
        <f aca="false">IF(COUNT(H252,J252,L252)=0,"",MIN(H252,J252,L252))</f>
        <v/>
      </c>
      <c r="N252" s="14" t="str">
        <f aca="false">IF(M252="","",IF(H252=M252,G252,IF(J252=M252,I252,K252)))</f>
        <v/>
      </c>
      <c r="O252" s="19" t="str">
        <f aca="false">IF(M252="","",M252*F252)</f>
        <v/>
      </c>
      <c r="P252" s="18"/>
      <c r="Q252" s="18"/>
      <c r="R252" s="19" t="str">
        <f aca="false">IF(OR(P252="",Q252=""),"",P252-Q252)</f>
        <v/>
      </c>
      <c r="S252" s="19" t="str">
        <f aca="false">IF(R252="","",R252*F252)</f>
        <v/>
      </c>
      <c r="T252" s="20" t="str">
        <f aca="false">IF(OR(R252="",P252=0),"",R252/P252)</f>
        <v/>
      </c>
      <c r="U252" s="13"/>
    </row>
    <row r="253" customFormat="false" ht="15" hidden="false" customHeight="false" outlineLevel="0" collapsed="false">
      <c r="A253" s="13"/>
      <c r="B253" s="16"/>
      <c r="C253" s="13"/>
      <c r="D253" s="13"/>
      <c r="E253" s="13"/>
      <c r="F253" s="17"/>
      <c r="G253" s="13"/>
      <c r="H253" s="18"/>
      <c r="I253" s="13"/>
      <c r="J253" s="18"/>
      <c r="K253" s="13"/>
      <c r="L253" s="18"/>
      <c r="M253" s="19" t="str">
        <f aca="false">IF(COUNT(H253,J253,L253)=0,"",MIN(H253,J253,L253))</f>
        <v/>
      </c>
      <c r="N253" s="14" t="str">
        <f aca="false">IF(M253="","",IF(H253=M253,G253,IF(J253=M253,I253,K253)))</f>
        <v/>
      </c>
      <c r="O253" s="19" t="str">
        <f aca="false">IF(M253="","",M253*F253)</f>
        <v/>
      </c>
      <c r="P253" s="18"/>
      <c r="Q253" s="18"/>
      <c r="R253" s="19" t="str">
        <f aca="false">IF(OR(P253="",Q253=""),"",P253-Q253)</f>
        <v/>
      </c>
      <c r="S253" s="19" t="str">
        <f aca="false">IF(R253="","",R253*F253)</f>
        <v/>
      </c>
      <c r="T253" s="20" t="str">
        <f aca="false">IF(OR(R253="",P253=0),"",R253/P253)</f>
        <v/>
      </c>
      <c r="U253" s="13"/>
    </row>
    <row r="254" customFormat="false" ht="15" hidden="false" customHeight="false" outlineLevel="0" collapsed="false">
      <c r="A254" s="13"/>
      <c r="B254" s="16"/>
      <c r="C254" s="13"/>
      <c r="D254" s="13"/>
      <c r="E254" s="13"/>
      <c r="F254" s="17"/>
      <c r="G254" s="13"/>
      <c r="H254" s="18"/>
      <c r="I254" s="13"/>
      <c r="J254" s="18"/>
      <c r="K254" s="13"/>
      <c r="L254" s="18"/>
      <c r="M254" s="19" t="str">
        <f aca="false">IF(COUNT(H254,J254,L254)=0,"",MIN(H254,J254,L254))</f>
        <v/>
      </c>
      <c r="N254" s="14" t="str">
        <f aca="false">IF(M254="","",IF(H254=M254,G254,IF(J254=M254,I254,K254)))</f>
        <v/>
      </c>
      <c r="O254" s="19" t="str">
        <f aca="false">IF(M254="","",M254*F254)</f>
        <v/>
      </c>
      <c r="P254" s="18"/>
      <c r="Q254" s="18"/>
      <c r="R254" s="19" t="str">
        <f aca="false">IF(OR(P254="",Q254=""),"",P254-Q254)</f>
        <v/>
      </c>
      <c r="S254" s="19" t="str">
        <f aca="false">IF(R254="","",R254*F254)</f>
        <v/>
      </c>
      <c r="T254" s="20" t="str">
        <f aca="false">IF(OR(R254="",P254=0),"",R254/P254)</f>
        <v/>
      </c>
      <c r="U254" s="13"/>
    </row>
    <row r="255" customFormat="false" ht="15" hidden="false" customHeight="false" outlineLevel="0" collapsed="false">
      <c r="A255" s="13"/>
      <c r="B255" s="16"/>
      <c r="C255" s="13"/>
      <c r="D255" s="13"/>
      <c r="E255" s="13"/>
      <c r="F255" s="17"/>
      <c r="G255" s="13"/>
      <c r="H255" s="18"/>
      <c r="I255" s="13"/>
      <c r="J255" s="18"/>
      <c r="K255" s="13"/>
      <c r="L255" s="18"/>
      <c r="M255" s="19" t="str">
        <f aca="false">IF(COUNT(H255,J255,L255)=0,"",MIN(H255,J255,L255))</f>
        <v/>
      </c>
      <c r="N255" s="14" t="str">
        <f aca="false">IF(M255="","",IF(H255=M255,G255,IF(J255=M255,I255,K255)))</f>
        <v/>
      </c>
      <c r="O255" s="19" t="str">
        <f aca="false">IF(M255="","",M255*F255)</f>
        <v/>
      </c>
      <c r="P255" s="18"/>
      <c r="Q255" s="18"/>
      <c r="R255" s="19" t="str">
        <f aca="false">IF(OR(P255="",Q255=""),"",P255-Q255)</f>
        <v/>
      </c>
      <c r="S255" s="19" t="str">
        <f aca="false">IF(R255="","",R255*F255)</f>
        <v/>
      </c>
      <c r="T255" s="20" t="str">
        <f aca="false">IF(OR(R255="",P255=0),"",R255/P255)</f>
        <v/>
      </c>
      <c r="U255" s="13"/>
    </row>
    <row r="256" customFormat="false" ht="15" hidden="false" customHeight="false" outlineLevel="0" collapsed="false">
      <c r="A256" s="13"/>
      <c r="B256" s="16"/>
      <c r="C256" s="13"/>
      <c r="D256" s="13"/>
      <c r="E256" s="13"/>
      <c r="F256" s="17"/>
      <c r="G256" s="13"/>
      <c r="H256" s="18"/>
      <c r="I256" s="13"/>
      <c r="J256" s="18"/>
      <c r="K256" s="13"/>
      <c r="L256" s="18"/>
      <c r="M256" s="19" t="str">
        <f aca="false">IF(COUNT(H256,J256,L256)=0,"",MIN(H256,J256,L256))</f>
        <v/>
      </c>
      <c r="N256" s="14" t="str">
        <f aca="false">IF(M256="","",IF(H256=M256,G256,IF(J256=M256,I256,K256)))</f>
        <v/>
      </c>
      <c r="O256" s="19" t="str">
        <f aca="false">IF(M256="","",M256*F256)</f>
        <v/>
      </c>
      <c r="P256" s="18"/>
      <c r="Q256" s="18"/>
      <c r="R256" s="19" t="str">
        <f aca="false">IF(OR(P256="",Q256=""),"",P256-Q256)</f>
        <v/>
      </c>
      <c r="S256" s="19" t="str">
        <f aca="false">IF(R256="","",R256*F256)</f>
        <v/>
      </c>
      <c r="T256" s="20" t="str">
        <f aca="false">IF(OR(R256="",P256=0),"",R256/P256)</f>
        <v/>
      </c>
      <c r="U256" s="13"/>
    </row>
    <row r="257" customFormat="false" ht="15" hidden="false" customHeight="false" outlineLevel="0" collapsed="false">
      <c r="A257" s="13"/>
      <c r="B257" s="16"/>
      <c r="C257" s="13"/>
      <c r="D257" s="13"/>
      <c r="E257" s="13"/>
      <c r="F257" s="17"/>
      <c r="G257" s="13"/>
      <c r="H257" s="18"/>
      <c r="I257" s="13"/>
      <c r="J257" s="18"/>
      <c r="K257" s="13"/>
      <c r="L257" s="18"/>
      <c r="M257" s="19" t="str">
        <f aca="false">IF(COUNT(H257,J257,L257)=0,"",MIN(H257,J257,L257))</f>
        <v/>
      </c>
      <c r="N257" s="14" t="str">
        <f aca="false">IF(M257="","",IF(H257=M257,G257,IF(J257=M257,I257,K257)))</f>
        <v/>
      </c>
      <c r="O257" s="19" t="str">
        <f aca="false">IF(M257="","",M257*F257)</f>
        <v/>
      </c>
      <c r="P257" s="18"/>
      <c r="Q257" s="18"/>
      <c r="R257" s="19" t="str">
        <f aca="false">IF(OR(P257="",Q257=""),"",P257-Q257)</f>
        <v/>
      </c>
      <c r="S257" s="19" t="str">
        <f aca="false">IF(R257="","",R257*F257)</f>
        <v/>
      </c>
      <c r="T257" s="20" t="str">
        <f aca="false">IF(OR(R257="",P257=0),"",R257/P257)</f>
        <v/>
      </c>
      <c r="U257" s="13"/>
    </row>
    <row r="258" customFormat="false" ht="15" hidden="false" customHeight="false" outlineLevel="0" collapsed="false">
      <c r="A258" s="13"/>
      <c r="B258" s="16"/>
      <c r="C258" s="13"/>
      <c r="D258" s="13"/>
      <c r="E258" s="13"/>
      <c r="F258" s="17"/>
      <c r="G258" s="13"/>
      <c r="H258" s="18"/>
      <c r="I258" s="13"/>
      <c r="J258" s="18"/>
      <c r="K258" s="13"/>
      <c r="L258" s="18"/>
      <c r="M258" s="19" t="str">
        <f aca="false">IF(COUNT(H258,J258,L258)=0,"",MIN(H258,J258,L258))</f>
        <v/>
      </c>
      <c r="N258" s="14" t="str">
        <f aca="false">IF(M258="","",IF(H258=M258,G258,IF(J258=M258,I258,K258)))</f>
        <v/>
      </c>
      <c r="O258" s="19" t="str">
        <f aca="false">IF(M258="","",M258*F258)</f>
        <v/>
      </c>
      <c r="P258" s="18"/>
      <c r="Q258" s="18"/>
      <c r="R258" s="19" t="str">
        <f aca="false">IF(OR(P258="",Q258=""),"",P258-Q258)</f>
        <v/>
      </c>
      <c r="S258" s="19" t="str">
        <f aca="false">IF(R258="","",R258*F258)</f>
        <v/>
      </c>
      <c r="T258" s="20" t="str">
        <f aca="false">IF(OR(R258="",P258=0),"",R258/P258)</f>
        <v/>
      </c>
      <c r="U258" s="13"/>
    </row>
    <row r="259" customFormat="false" ht="15" hidden="false" customHeight="false" outlineLevel="0" collapsed="false">
      <c r="A259" s="13"/>
      <c r="B259" s="16"/>
      <c r="C259" s="13"/>
      <c r="D259" s="13"/>
      <c r="E259" s="13"/>
      <c r="F259" s="17"/>
      <c r="G259" s="13"/>
      <c r="H259" s="18"/>
      <c r="I259" s="13"/>
      <c r="J259" s="18"/>
      <c r="K259" s="13"/>
      <c r="L259" s="18"/>
      <c r="M259" s="19" t="str">
        <f aca="false">IF(COUNT(H259,J259,L259)=0,"",MIN(H259,J259,L259))</f>
        <v/>
      </c>
      <c r="N259" s="14" t="str">
        <f aca="false">IF(M259="","",IF(H259=M259,G259,IF(J259=M259,I259,K259)))</f>
        <v/>
      </c>
      <c r="O259" s="19" t="str">
        <f aca="false">IF(M259="","",M259*F259)</f>
        <v/>
      </c>
      <c r="P259" s="18"/>
      <c r="Q259" s="18"/>
      <c r="R259" s="19" t="str">
        <f aca="false">IF(OR(P259="",Q259=""),"",P259-Q259)</f>
        <v/>
      </c>
      <c r="S259" s="19" t="str">
        <f aca="false">IF(R259="","",R259*F259)</f>
        <v/>
      </c>
      <c r="T259" s="20" t="str">
        <f aca="false">IF(OR(R259="",P259=0),"",R259/P259)</f>
        <v/>
      </c>
      <c r="U259" s="13"/>
    </row>
    <row r="260" customFormat="false" ht="15" hidden="false" customHeight="false" outlineLevel="0" collapsed="false">
      <c r="A260" s="13"/>
      <c r="B260" s="16"/>
      <c r="C260" s="13"/>
      <c r="D260" s="13"/>
      <c r="E260" s="13"/>
      <c r="F260" s="17"/>
      <c r="G260" s="13"/>
      <c r="H260" s="18"/>
      <c r="I260" s="13"/>
      <c r="J260" s="18"/>
      <c r="K260" s="13"/>
      <c r="L260" s="18"/>
      <c r="M260" s="19" t="str">
        <f aca="false">IF(COUNT(H260,J260,L260)=0,"",MIN(H260,J260,L260))</f>
        <v/>
      </c>
      <c r="N260" s="14" t="str">
        <f aca="false">IF(M260="","",IF(H260=M260,G260,IF(J260=M260,I260,K260)))</f>
        <v/>
      </c>
      <c r="O260" s="19" t="str">
        <f aca="false">IF(M260="","",M260*F260)</f>
        <v/>
      </c>
      <c r="P260" s="18"/>
      <c r="Q260" s="18"/>
      <c r="R260" s="19" t="str">
        <f aca="false">IF(OR(P260="",Q260=""),"",P260-Q260)</f>
        <v/>
      </c>
      <c r="S260" s="19" t="str">
        <f aca="false">IF(R260="","",R260*F260)</f>
        <v/>
      </c>
      <c r="T260" s="20" t="str">
        <f aca="false">IF(OR(R260="",P260=0),"",R260/P260)</f>
        <v/>
      </c>
      <c r="U260" s="13"/>
    </row>
    <row r="261" customFormat="false" ht="15" hidden="false" customHeight="false" outlineLevel="0" collapsed="false">
      <c r="A261" s="13"/>
      <c r="B261" s="16"/>
      <c r="C261" s="13"/>
      <c r="D261" s="13"/>
      <c r="E261" s="13"/>
      <c r="F261" s="17"/>
      <c r="G261" s="13"/>
      <c r="H261" s="18"/>
      <c r="I261" s="13"/>
      <c r="J261" s="18"/>
      <c r="K261" s="13"/>
      <c r="L261" s="18"/>
      <c r="M261" s="19" t="str">
        <f aca="false">IF(COUNT(H261,J261,L261)=0,"",MIN(H261,J261,L261))</f>
        <v/>
      </c>
      <c r="N261" s="14" t="str">
        <f aca="false">IF(M261="","",IF(H261=M261,G261,IF(J261=M261,I261,K261)))</f>
        <v/>
      </c>
      <c r="O261" s="19" t="str">
        <f aca="false">IF(M261="","",M261*F261)</f>
        <v/>
      </c>
      <c r="P261" s="18"/>
      <c r="Q261" s="18"/>
      <c r="R261" s="19" t="str">
        <f aca="false">IF(OR(P261="",Q261=""),"",P261-Q261)</f>
        <v/>
      </c>
      <c r="S261" s="19" t="str">
        <f aca="false">IF(R261="","",R261*F261)</f>
        <v/>
      </c>
      <c r="T261" s="20" t="str">
        <f aca="false">IF(OR(R261="",P261=0),"",R261/P261)</f>
        <v/>
      </c>
      <c r="U261" s="13"/>
    </row>
    <row r="262" customFormat="false" ht="15" hidden="false" customHeight="false" outlineLevel="0" collapsed="false">
      <c r="A262" s="13"/>
      <c r="B262" s="16"/>
      <c r="C262" s="13"/>
      <c r="D262" s="13"/>
      <c r="E262" s="13"/>
      <c r="F262" s="17"/>
      <c r="G262" s="13"/>
      <c r="H262" s="18"/>
      <c r="I262" s="13"/>
      <c r="J262" s="18"/>
      <c r="K262" s="13"/>
      <c r="L262" s="18"/>
      <c r="M262" s="19" t="str">
        <f aca="false">IF(COUNT(H262,J262,L262)=0,"",MIN(H262,J262,L262))</f>
        <v/>
      </c>
      <c r="N262" s="14" t="str">
        <f aca="false">IF(M262="","",IF(H262=M262,G262,IF(J262=M262,I262,K262)))</f>
        <v/>
      </c>
      <c r="O262" s="19" t="str">
        <f aca="false">IF(M262="","",M262*F262)</f>
        <v/>
      </c>
      <c r="P262" s="18"/>
      <c r="Q262" s="18"/>
      <c r="R262" s="19" t="str">
        <f aca="false">IF(OR(P262="",Q262=""),"",P262-Q262)</f>
        <v/>
      </c>
      <c r="S262" s="19" t="str">
        <f aca="false">IF(R262="","",R262*F262)</f>
        <v/>
      </c>
      <c r="T262" s="20" t="str">
        <f aca="false">IF(OR(R262="",P262=0),"",R262/P262)</f>
        <v/>
      </c>
      <c r="U262" s="13"/>
    </row>
    <row r="263" customFormat="false" ht="15" hidden="false" customHeight="false" outlineLevel="0" collapsed="false">
      <c r="A263" s="13"/>
      <c r="B263" s="16"/>
      <c r="C263" s="13"/>
      <c r="D263" s="13"/>
      <c r="E263" s="13"/>
      <c r="F263" s="17"/>
      <c r="G263" s="13"/>
      <c r="H263" s="18"/>
      <c r="I263" s="13"/>
      <c r="J263" s="18"/>
      <c r="K263" s="13"/>
      <c r="L263" s="18"/>
      <c r="M263" s="19" t="str">
        <f aca="false">IF(COUNT(H263,J263,L263)=0,"",MIN(H263,J263,L263))</f>
        <v/>
      </c>
      <c r="N263" s="14" t="str">
        <f aca="false">IF(M263="","",IF(H263=M263,G263,IF(J263=M263,I263,K263)))</f>
        <v/>
      </c>
      <c r="O263" s="19" t="str">
        <f aca="false">IF(M263="","",M263*F263)</f>
        <v/>
      </c>
      <c r="P263" s="18"/>
      <c r="Q263" s="18"/>
      <c r="R263" s="19" t="str">
        <f aca="false">IF(OR(P263="",Q263=""),"",P263-Q263)</f>
        <v/>
      </c>
      <c r="S263" s="19" t="str">
        <f aca="false">IF(R263="","",R263*F263)</f>
        <v/>
      </c>
      <c r="T263" s="20" t="str">
        <f aca="false">IF(OR(R263="",P263=0),"",R263/P263)</f>
        <v/>
      </c>
      <c r="U263" s="13"/>
    </row>
    <row r="264" customFormat="false" ht="15" hidden="false" customHeight="false" outlineLevel="0" collapsed="false">
      <c r="A264" s="13"/>
      <c r="B264" s="16"/>
      <c r="C264" s="13"/>
      <c r="D264" s="13"/>
      <c r="E264" s="13"/>
      <c r="F264" s="17"/>
      <c r="G264" s="13"/>
      <c r="H264" s="18"/>
      <c r="I264" s="13"/>
      <c r="J264" s="18"/>
      <c r="K264" s="13"/>
      <c r="L264" s="18"/>
      <c r="M264" s="19" t="str">
        <f aca="false">IF(COUNT(H264,J264,L264)=0,"",MIN(H264,J264,L264))</f>
        <v/>
      </c>
      <c r="N264" s="14" t="str">
        <f aca="false">IF(M264="","",IF(H264=M264,G264,IF(J264=M264,I264,K264)))</f>
        <v/>
      </c>
      <c r="O264" s="19" t="str">
        <f aca="false">IF(M264="","",M264*F264)</f>
        <v/>
      </c>
      <c r="P264" s="18"/>
      <c r="Q264" s="18"/>
      <c r="R264" s="19" t="str">
        <f aca="false">IF(OR(P264="",Q264=""),"",P264-Q264)</f>
        <v/>
      </c>
      <c r="S264" s="19" t="str">
        <f aca="false">IF(R264="","",R264*F264)</f>
        <v/>
      </c>
      <c r="T264" s="20" t="str">
        <f aca="false">IF(OR(R264="",P264=0),"",R264/P264)</f>
        <v/>
      </c>
      <c r="U264" s="13"/>
    </row>
    <row r="265" customFormat="false" ht="15" hidden="false" customHeight="false" outlineLevel="0" collapsed="false">
      <c r="A265" s="13"/>
      <c r="B265" s="16"/>
      <c r="C265" s="13"/>
      <c r="D265" s="13"/>
      <c r="E265" s="13"/>
      <c r="F265" s="17"/>
      <c r="G265" s="13"/>
      <c r="H265" s="18"/>
      <c r="I265" s="13"/>
      <c r="J265" s="18"/>
      <c r="K265" s="13"/>
      <c r="L265" s="18"/>
      <c r="M265" s="19" t="str">
        <f aca="false">IF(COUNT(H265,J265,L265)=0,"",MIN(H265,J265,L265))</f>
        <v/>
      </c>
      <c r="N265" s="14" t="str">
        <f aca="false">IF(M265="","",IF(H265=M265,G265,IF(J265=M265,I265,K265)))</f>
        <v/>
      </c>
      <c r="O265" s="19" t="str">
        <f aca="false">IF(M265="","",M265*F265)</f>
        <v/>
      </c>
      <c r="P265" s="18"/>
      <c r="Q265" s="18"/>
      <c r="R265" s="19" t="str">
        <f aca="false">IF(OR(P265="",Q265=""),"",P265-Q265)</f>
        <v/>
      </c>
      <c r="S265" s="19" t="str">
        <f aca="false">IF(R265="","",R265*F265)</f>
        <v/>
      </c>
      <c r="T265" s="20" t="str">
        <f aca="false">IF(OR(R265="",P265=0),"",R265/P265)</f>
        <v/>
      </c>
      <c r="U265" s="13"/>
    </row>
    <row r="266" customFormat="false" ht="15" hidden="false" customHeight="false" outlineLevel="0" collapsed="false">
      <c r="A266" s="13"/>
      <c r="B266" s="16"/>
      <c r="C266" s="13"/>
      <c r="D266" s="13"/>
      <c r="E266" s="13"/>
      <c r="F266" s="17"/>
      <c r="G266" s="13"/>
      <c r="H266" s="18"/>
      <c r="I266" s="13"/>
      <c r="J266" s="18"/>
      <c r="K266" s="13"/>
      <c r="L266" s="18"/>
      <c r="M266" s="19" t="str">
        <f aca="false">IF(COUNT(H266,J266,L266)=0,"",MIN(H266,J266,L266))</f>
        <v/>
      </c>
      <c r="N266" s="14" t="str">
        <f aca="false">IF(M266="","",IF(H266=M266,G266,IF(J266=M266,I266,K266)))</f>
        <v/>
      </c>
      <c r="O266" s="19" t="str">
        <f aca="false">IF(M266="","",M266*F266)</f>
        <v/>
      </c>
      <c r="P266" s="18"/>
      <c r="Q266" s="18"/>
      <c r="R266" s="19" t="str">
        <f aca="false">IF(OR(P266="",Q266=""),"",P266-Q266)</f>
        <v/>
      </c>
      <c r="S266" s="19" t="str">
        <f aca="false">IF(R266="","",R266*F266)</f>
        <v/>
      </c>
      <c r="T266" s="20" t="str">
        <f aca="false">IF(OR(R266="",P266=0),"",R266/P266)</f>
        <v/>
      </c>
      <c r="U266" s="13"/>
    </row>
    <row r="267" customFormat="false" ht="15" hidden="false" customHeight="false" outlineLevel="0" collapsed="false">
      <c r="A267" s="13"/>
      <c r="B267" s="16"/>
      <c r="C267" s="13"/>
      <c r="D267" s="13"/>
      <c r="E267" s="13"/>
      <c r="F267" s="17"/>
      <c r="G267" s="13"/>
      <c r="H267" s="18"/>
      <c r="I267" s="13"/>
      <c r="J267" s="18"/>
      <c r="K267" s="13"/>
      <c r="L267" s="18"/>
      <c r="M267" s="19" t="str">
        <f aca="false">IF(COUNT(H267,J267,L267)=0,"",MIN(H267,J267,L267))</f>
        <v/>
      </c>
      <c r="N267" s="14" t="str">
        <f aca="false">IF(M267="","",IF(H267=M267,G267,IF(J267=M267,I267,K267)))</f>
        <v/>
      </c>
      <c r="O267" s="19" t="str">
        <f aca="false">IF(M267="","",M267*F267)</f>
        <v/>
      </c>
      <c r="P267" s="18"/>
      <c r="Q267" s="18"/>
      <c r="R267" s="19" t="str">
        <f aca="false">IF(OR(P267="",Q267=""),"",P267-Q267)</f>
        <v/>
      </c>
      <c r="S267" s="19" t="str">
        <f aca="false">IF(R267="","",R267*F267)</f>
        <v/>
      </c>
      <c r="T267" s="20" t="str">
        <f aca="false">IF(OR(R267="",P267=0),"",R267/P267)</f>
        <v/>
      </c>
      <c r="U267" s="13"/>
    </row>
    <row r="268" customFormat="false" ht="15" hidden="false" customHeight="false" outlineLevel="0" collapsed="false">
      <c r="A268" s="13"/>
      <c r="B268" s="16"/>
      <c r="C268" s="13"/>
      <c r="D268" s="13"/>
      <c r="E268" s="13"/>
      <c r="F268" s="17"/>
      <c r="G268" s="13"/>
      <c r="H268" s="18"/>
      <c r="I268" s="13"/>
      <c r="J268" s="18"/>
      <c r="K268" s="13"/>
      <c r="L268" s="18"/>
      <c r="M268" s="19" t="str">
        <f aca="false">IF(COUNT(H268,J268,L268)=0,"",MIN(H268,J268,L268))</f>
        <v/>
      </c>
      <c r="N268" s="14" t="str">
        <f aca="false">IF(M268="","",IF(H268=M268,G268,IF(J268=M268,I268,K268)))</f>
        <v/>
      </c>
      <c r="O268" s="19" t="str">
        <f aca="false">IF(M268="","",M268*F268)</f>
        <v/>
      </c>
      <c r="P268" s="18"/>
      <c r="Q268" s="18"/>
      <c r="R268" s="19" t="str">
        <f aca="false">IF(OR(P268="",Q268=""),"",P268-Q268)</f>
        <v/>
      </c>
      <c r="S268" s="19" t="str">
        <f aca="false">IF(R268="","",R268*F268)</f>
        <v/>
      </c>
      <c r="T268" s="20" t="str">
        <f aca="false">IF(OR(R268="",P268=0),"",R268/P268)</f>
        <v/>
      </c>
      <c r="U268" s="13"/>
    </row>
    <row r="269" customFormat="false" ht="15" hidden="false" customHeight="false" outlineLevel="0" collapsed="false">
      <c r="A269" s="13"/>
      <c r="B269" s="16"/>
      <c r="C269" s="13"/>
      <c r="D269" s="13"/>
      <c r="E269" s="13"/>
      <c r="F269" s="17"/>
      <c r="G269" s="13"/>
      <c r="H269" s="18"/>
      <c r="I269" s="13"/>
      <c r="J269" s="18"/>
      <c r="K269" s="13"/>
      <c r="L269" s="18"/>
      <c r="M269" s="19" t="str">
        <f aca="false">IF(COUNT(H269,J269,L269)=0,"",MIN(H269,J269,L269))</f>
        <v/>
      </c>
      <c r="N269" s="14" t="str">
        <f aca="false">IF(M269="","",IF(H269=M269,G269,IF(J269=M269,I269,K269)))</f>
        <v/>
      </c>
      <c r="O269" s="19" t="str">
        <f aca="false">IF(M269="","",M269*F269)</f>
        <v/>
      </c>
      <c r="P269" s="18"/>
      <c r="Q269" s="18"/>
      <c r="R269" s="19" t="str">
        <f aca="false">IF(OR(P269="",Q269=""),"",P269-Q269)</f>
        <v/>
      </c>
      <c r="S269" s="19" t="str">
        <f aca="false">IF(R269="","",R269*F269)</f>
        <v/>
      </c>
      <c r="T269" s="20" t="str">
        <f aca="false">IF(OR(R269="",P269=0),"",R269/P269)</f>
        <v/>
      </c>
      <c r="U269" s="13"/>
    </row>
    <row r="270" customFormat="false" ht="15" hidden="false" customHeight="false" outlineLevel="0" collapsed="false">
      <c r="A270" s="13"/>
      <c r="B270" s="16"/>
      <c r="C270" s="13"/>
      <c r="D270" s="13"/>
      <c r="E270" s="13"/>
      <c r="F270" s="17"/>
      <c r="G270" s="13"/>
      <c r="H270" s="18"/>
      <c r="I270" s="13"/>
      <c r="J270" s="18"/>
      <c r="K270" s="13"/>
      <c r="L270" s="18"/>
      <c r="M270" s="19" t="str">
        <f aca="false">IF(COUNT(H270,J270,L270)=0,"",MIN(H270,J270,L270))</f>
        <v/>
      </c>
      <c r="N270" s="14" t="str">
        <f aca="false">IF(M270="","",IF(H270=M270,G270,IF(J270=M270,I270,K270)))</f>
        <v/>
      </c>
      <c r="O270" s="19" t="str">
        <f aca="false">IF(M270="","",M270*F270)</f>
        <v/>
      </c>
      <c r="P270" s="18"/>
      <c r="Q270" s="18"/>
      <c r="R270" s="19" t="str">
        <f aca="false">IF(OR(P270="",Q270=""),"",P270-Q270)</f>
        <v/>
      </c>
      <c r="S270" s="19" t="str">
        <f aca="false">IF(R270="","",R270*F270)</f>
        <v/>
      </c>
      <c r="T270" s="20" t="str">
        <f aca="false">IF(OR(R270="",P270=0),"",R270/P270)</f>
        <v/>
      </c>
      <c r="U270" s="13"/>
    </row>
    <row r="271" customFormat="false" ht="15" hidden="false" customHeight="false" outlineLevel="0" collapsed="false">
      <c r="A271" s="13"/>
      <c r="B271" s="16"/>
      <c r="C271" s="13"/>
      <c r="D271" s="13"/>
      <c r="E271" s="13"/>
      <c r="F271" s="17"/>
      <c r="G271" s="13"/>
      <c r="H271" s="18"/>
      <c r="I271" s="13"/>
      <c r="J271" s="18"/>
      <c r="K271" s="13"/>
      <c r="L271" s="18"/>
      <c r="M271" s="19" t="str">
        <f aca="false">IF(COUNT(H271,J271,L271)=0,"",MIN(H271,J271,L271))</f>
        <v/>
      </c>
      <c r="N271" s="14" t="str">
        <f aca="false">IF(M271="","",IF(H271=M271,G271,IF(J271=M271,I271,K271)))</f>
        <v/>
      </c>
      <c r="O271" s="19" t="str">
        <f aca="false">IF(M271="","",M271*F271)</f>
        <v/>
      </c>
      <c r="P271" s="18"/>
      <c r="Q271" s="18"/>
      <c r="R271" s="19" t="str">
        <f aca="false">IF(OR(P271="",Q271=""),"",P271-Q271)</f>
        <v/>
      </c>
      <c r="S271" s="19" t="str">
        <f aca="false">IF(R271="","",R271*F271)</f>
        <v/>
      </c>
      <c r="T271" s="20" t="str">
        <f aca="false">IF(OR(R271="",P271=0),"",R271/P271)</f>
        <v/>
      </c>
      <c r="U271" s="13"/>
    </row>
    <row r="272" customFormat="false" ht="15" hidden="false" customHeight="false" outlineLevel="0" collapsed="false">
      <c r="A272" s="13"/>
      <c r="B272" s="16"/>
      <c r="C272" s="13"/>
      <c r="D272" s="13"/>
      <c r="E272" s="13"/>
      <c r="F272" s="17"/>
      <c r="G272" s="13"/>
      <c r="H272" s="18"/>
      <c r="I272" s="13"/>
      <c r="J272" s="18"/>
      <c r="K272" s="13"/>
      <c r="L272" s="18"/>
      <c r="M272" s="19" t="str">
        <f aca="false">IF(COUNT(H272,J272,L272)=0,"",MIN(H272,J272,L272))</f>
        <v/>
      </c>
      <c r="N272" s="14" t="str">
        <f aca="false">IF(M272="","",IF(H272=M272,G272,IF(J272=M272,I272,K272)))</f>
        <v/>
      </c>
      <c r="O272" s="19" t="str">
        <f aca="false">IF(M272="","",M272*F272)</f>
        <v/>
      </c>
      <c r="P272" s="18"/>
      <c r="Q272" s="18"/>
      <c r="R272" s="19" t="str">
        <f aca="false">IF(OR(P272="",Q272=""),"",P272-Q272)</f>
        <v/>
      </c>
      <c r="S272" s="19" t="str">
        <f aca="false">IF(R272="","",R272*F272)</f>
        <v/>
      </c>
      <c r="T272" s="20" t="str">
        <f aca="false">IF(OR(R272="",P272=0),"",R272/P272)</f>
        <v/>
      </c>
      <c r="U272" s="13"/>
    </row>
    <row r="273" customFormat="false" ht="15" hidden="false" customHeight="false" outlineLevel="0" collapsed="false">
      <c r="A273" s="13"/>
      <c r="B273" s="16"/>
      <c r="C273" s="13"/>
      <c r="D273" s="13"/>
      <c r="E273" s="13"/>
      <c r="F273" s="17"/>
      <c r="G273" s="13"/>
      <c r="H273" s="18"/>
      <c r="I273" s="13"/>
      <c r="J273" s="18"/>
      <c r="K273" s="13"/>
      <c r="L273" s="18"/>
      <c r="M273" s="19" t="str">
        <f aca="false">IF(COUNT(H273,J273,L273)=0,"",MIN(H273,J273,L273))</f>
        <v/>
      </c>
      <c r="N273" s="14" t="str">
        <f aca="false">IF(M273="","",IF(H273=M273,G273,IF(J273=M273,I273,K273)))</f>
        <v/>
      </c>
      <c r="O273" s="19" t="str">
        <f aca="false">IF(M273="","",M273*F273)</f>
        <v/>
      </c>
      <c r="P273" s="18"/>
      <c r="Q273" s="18"/>
      <c r="R273" s="19" t="str">
        <f aca="false">IF(OR(P273="",Q273=""),"",P273-Q273)</f>
        <v/>
      </c>
      <c r="S273" s="19" t="str">
        <f aca="false">IF(R273="","",R273*F273)</f>
        <v/>
      </c>
      <c r="T273" s="20" t="str">
        <f aca="false">IF(OR(R273="",P273=0),"",R273/P273)</f>
        <v/>
      </c>
      <c r="U273" s="13"/>
    </row>
    <row r="274" customFormat="false" ht="15" hidden="false" customHeight="false" outlineLevel="0" collapsed="false">
      <c r="A274" s="13"/>
      <c r="B274" s="16"/>
      <c r="C274" s="13"/>
      <c r="D274" s="13"/>
      <c r="E274" s="13"/>
      <c r="F274" s="17"/>
      <c r="G274" s="13"/>
      <c r="H274" s="18"/>
      <c r="I274" s="13"/>
      <c r="J274" s="18"/>
      <c r="K274" s="13"/>
      <c r="L274" s="18"/>
      <c r="M274" s="19" t="str">
        <f aca="false">IF(COUNT(H274,J274,L274)=0,"",MIN(H274,J274,L274))</f>
        <v/>
      </c>
      <c r="N274" s="14" t="str">
        <f aca="false">IF(M274="","",IF(H274=M274,G274,IF(J274=M274,I274,K274)))</f>
        <v/>
      </c>
      <c r="O274" s="19" t="str">
        <f aca="false">IF(M274="","",M274*F274)</f>
        <v/>
      </c>
      <c r="P274" s="18"/>
      <c r="Q274" s="18"/>
      <c r="R274" s="19" t="str">
        <f aca="false">IF(OR(P274="",Q274=""),"",P274-Q274)</f>
        <v/>
      </c>
      <c r="S274" s="19" t="str">
        <f aca="false">IF(R274="","",R274*F274)</f>
        <v/>
      </c>
      <c r="T274" s="20" t="str">
        <f aca="false">IF(OR(R274="",P274=0),"",R274/P274)</f>
        <v/>
      </c>
      <c r="U274" s="13"/>
    </row>
    <row r="275" customFormat="false" ht="15" hidden="false" customHeight="false" outlineLevel="0" collapsed="false">
      <c r="A275" s="13"/>
      <c r="B275" s="16"/>
      <c r="C275" s="13"/>
      <c r="D275" s="13"/>
      <c r="E275" s="13"/>
      <c r="F275" s="17"/>
      <c r="G275" s="13"/>
      <c r="H275" s="18"/>
      <c r="I275" s="13"/>
      <c r="J275" s="18"/>
      <c r="K275" s="13"/>
      <c r="L275" s="18"/>
      <c r="M275" s="19" t="str">
        <f aca="false">IF(COUNT(H275,J275,L275)=0,"",MIN(H275,J275,L275))</f>
        <v/>
      </c>
      <c r="N275" s="14" t="str">
        <f aca="false">IF(M275="","",IF(H275=M275,G275,IF(J275=M275,I275,K275)))</f>
        <v/>
      </c>
      <c r="O275" s="19" t="str">
        <f aca="false">IF(M275="","",M275*F275)</f>
        <v/>
      </c>
      <c r="P275" s="18"/>
      <c r="Q275" s="18"/>
      <c r="R275" s="19" t="str">
        <f aca="false">IF(OR(P275="",Q275=""),"",P275-Q275)</f>
        <v/>
      </c>
      <c r="S275" s="19" t="str">
        <f aca="false">IF(R275="","",R275*F275)</f>
        <v/>
      </c>
      <c r="T275" s="20" t="str">
        <f aca="false">IF(OR(R275="",P275=0),"",R275/P275)</f>
        <v/>
      </c>
      <c r="U275" s="13"/>
    </row>
    <row r="276" customFormat="false" ht="15" hidden="false" customHeight="false" outlineLevel="0" collapsed="false">
      <c r="A276" s="13"/>
      <c r="B276" s="16"/>
      <c r="C276" s="13"/>
      <c r="D276" s="13"/>
      <c r="E276" s="13"/>
      <c r="F276" s="17"/>
      <c r="G276" s="13"/>
      <c r="H276" s="18"/>
      <c r="I276" s="13"/>
      <c r="J276" s="18"/>
      <c r="K276" s="13"/>
      <c r="L276" s="18"/>
      <c r="M276" s="19" t="str">
        <f aca="false">IF(COUNT(H276,J276,L276)=0,"",MIN(H276,J276,L276))</f>
        <v/>
      </c>
      <c r="N276" s="14" t="str">
        <f aca="false">IF(M276="","",IF(H276=M276,G276,IF(J276=M276,I276,K276)))</f>
        <v/>
      </c>
      <c r="O276" s="19" t="str">
        <f aca="false">IF(M276="","",M276*F276)</f>
        <v/>
      </c>
      <c r="P276" s="18"/>
      <c r="Q276" s="18"/>
      <c r="R276" s="19" t="str">
        <f aca="false">IF(OR(P276="",Q276=""),"",P276-Q276)</f>
        <v/>
      </c>
      <c r="S276" s="19" t="str">
        <f aca="false">IF(R276="","",R276*F276)</f>
        <v/>
      </c>
      <c r="T276" s="20" t="str">
        <f aca="false">IF(OR(R276="",P276=0),"",R276/P276)</f>
        <v/>
      </c>
      <c r="U276" s="13"/>
    </row>
    <row r="277" customFormat="false" ht="15" hidden="false" customHeight="false" outlineLevel="0" collapsed="false">
      <c r="A277" s="13"/>
      <c r="B277" s="16"/>
      <c r="C277" s="13"/>
      <c r="D277" s="13"/>
      <c r="E277" s="13"/>
      <c r="F277" s="17"/>
      <c r="G277" s="13"/>
      <c r="H277" s="18"/>
      <c r="I277" s="13"/>
      <c r="J277" s="18"/>
      <c r="K277" s="13"/>
      <c r="L277" s="18"/>
      <c r="M277" s="19" t="str">
        <f aca="false">IF(COUNT(H277,J277,L277)=0,"",MIN(H277,J277,L277))</f>
        <v/>
      </c>
      <c r="N277" s="14" t="str">
        <f aca="false">IF(M277="","",IF(H277=M277,G277,IF(J277=M277,I277,K277)))</f>
        <v/>
      </c>
      <c r="O277" s="19" t="str">
        <f aca="false">IF(M277="","",M277*F277)</f>
        <v/>
      </c>
      <c r="P277" s="18"/>
      <c r="Q277" s="18"/>
      <c r="R277" s="19" t="str">
        <f aca="false">IF(OR(P277="",Q277=""),"",P277-Q277)</f>
        <v/>
      </c>
      <c r="S277" s="19" t="str">
        <f aca="false">IF(R277="","",R277*F277)</f>
        <v/>
      </c>
      <c r="T277" s="20" t="str">
        <f aca="false">IF(OR(R277="",P277=0),"",R277/P277)</f>
        <v/>
      </c>
      <c r="U277" s="13"/>
    </row>
    <row r="278" customFormat="false" ht="15" hidden="false" customHeight="false" outlineLevel="0" collapsed="false">
      <c r="A278" s="13"/>
      <c r="B278" s="16"/>
      <c r="C278" s="13"/>
      <c r="D278" s="13"/>
      <c r="E278" s="13"/>
      <c r="F278" s="17"/>
      <c r="G278" s="13"/>
      <c r="H278" s="18"/>
      <c r="I278" s="13"/>
      <c r="J278" s="18"/>
      <c r="K278" s="13"/>
      <c r="L278" s="18"/>
      <c r="M278" s="19" t="str">
        <f aca="false">IF(COUNT(H278,J278,L278)=0,"",MIN(H278,J278,L278))</f>
        <v/>
      </c>
      <c r="N278" s="14" t="str">
        <f aca="false">IF(M278="","",IF(H278=M278,G278,IF(J278=M278,I278,K278)))</f>
        <v/>
      </c>
      <c r="O278" s="19" t="str">
        <f aca="false">IF(M278="","",M278*F278)</f>
        <v/>
      </c>
      <c r="P278" s="18"/>
      <c r="Q278" s="18"/>
      <c r="R278" s="19" t="str">
        <f aca="false">IF(OR(P278="",Q278=""),"",P278-Q278)</f>
        <v/>
      </c>
      <c r="S278" s="19" t="str">
        <f aca="false">IF(R278="","",R278*F278)</f>
        <v/>
      </c>
      <c r="T278" s="20" t="str">
        <f aca="false">IF(OR(R278="",P278=0),"",R278/P278)</f>
        <v/>
      </c>
      <c r="U278" s="13"/>
    </row>
    <row r="279" customFormat="false" ht="15" hidden="false" customHeight="false" outlineLevel="0" collapsed="false">
      <c r="A279" s="13"/>
      <c r="B279" s="16"/>
      <c r="C279" s="13"/>
      <c r="D279" s="13"/>
      <c r="E279" s="13"/>
      <c r="F279" s="17"/>
      <c r="G279" s="13"/>
      <c r="H279" s="18"/>
      <c r="I279" s="13"/>
      <c r="J279" s="18"/>
      <c r="K279" s="13"/>
      <c r="L279" s="18"/>
      <c r="M279" s="19" t="str">
        <f aca="false">IF(COUNT(H279,J279,L279)=0,"",MIN(H279,J279,L279))</f>
        <v/>
      </c>
      <c r="N279" s="14" t="str">
        <f aca="false">IF(M279="","",IF(H279=M279,G279,IF(J279=M279,I279,K279)))</f>
        <v/>
      </c>
      <c r="O279" s="19" t="str">
        <f aca="false">IF(M279="","",M279*F279)</f>
        <v/>
      </c>
      <c r="P279" s="18"/>
      <c r="Q279" s="18"/>
      <c r="R279" s="19" t="str">
        <f aca="false">IF(OR(P279="",Q279=""),"",P279-Q279)</f>
        <v/>
      </c>
      <c r="S279" s="19" t="str">
        <f aca="false">IF(R279="","",R279*F279)</f>
        <v/>
      </c>
      <c r="T279" s="20" t="str">
        <f aca="false">IF(OR(R279="",P279=0),"",R279/P279)</f>
        <v/>
      </c>
      <c r="U279" s="13"/>
    </row>
    <row r="280" customFormat="false" ht="15" hidden="false" customHeight="false" outlineLevel="0" collapsed="false">
      <c r="A280" s="13"/>
      <c r="B280" s="16"/>
      <c r="C280" s="13"/>
      <c r="D280" s="13"/>
      <c r="E280" s="13"/>
      <c r="F280" s="17"/>
      <c r="G280" s="13"/>
      <c r="H280" s="18"/>
      <c r="I280" s="13"/>
      <c r="J280" s="18"/>
      <c r="K280" s="13"/>
      <c r="L280" s="18"/>
      <c r="M280" s="19" t="str">
        <f aca="false">IF(COUNT(H280,J280,L280)=0,"",MIN(H280,J280,L280))</f>
        <v/>
      </c>
      <c r="N280" s="14" t="str">
        <f aca="false">IF(M280="","",IF(H280=M280,G280,IF(J280=M280,I280,K280)))</f>
        <v/>
      </c>
      <c r="O280" s="19" t="str">
        <f aca="false">IF(M280="","",M280*F280)</f>
        <v/>
      </c>
      <c r="P280" s="18"/>
      <c r="Q280" s="18"/>
      <c r="R280" s="19" t="str">
        <f aca="false">IF(OR(P280="",Q280=""),"",P280-Q280)</f>
        <v/>
      </c>
      <c r="S280" s="19" t="str">
        <f aca="false">IF(R280="","",R280*F280)</f>
        <v/>
      </c>
      <c r="T280" s="20" t="str">
        <f aca="false">IF(OR(R280="",P280=0),"",R280/P280)</f>
        <v/>
      </c>
      <c r="U280" s="13"/>
    </row>
    <row r="281" customFormat="false" ht="15" hidden="false" customHeight="false" outlineLevel="0" collapsed="false">
      <c r="A281" s="13"/>
      <c r="B281" s="16"/>
      <c r="C281" s="13"/>
      <c r="D281" s="13"/>
      <c r="E281" s="13"/>
      <c r="F281" s="17"/>
      <c r="G281" s="13"/>
      <c r="H281" s="18"/>
      <c r="I281" s="13"/>
      <c r="J281" s="18"/>
      <c r="K281" s="13"/>
      <c r="L281" s="18"/>
      <c r="M281" s="19" t="str">
        <f aca="false">IF(COUNT(H281,J281,L281)=0,"",MIN(H281,J281,L281))</f>
        <v/>
      </c>
      <c r="N281" s="14" t="str">
        <f aca="false">IF(M281="","",IF(H281=M281,G281,IF(J281=M281,I281,K281)))</f>
        <v/>
      </c>
      <c r="O281" s="19" t="str">
        <f aca="false">IF(M281="","",M281*F281)</f>
        <v/>
      </c>
      <c r="P281" s="18"/>
      <c r="Q281" s="18"/>
      <c r="R281" s="19" t="str">
        <f aca="false">IF(OR(P281="",Q281=""),"",P281-Q281)</f>
        <v/>
      </c>
      <c r="S281" s="19" t="str">
        <f aca="false">IF(R281="","",R281*F281)</f>
        <v/>
      </c>
      <c r="T281" s="20" t="str">
        <f aca="false">IF(OR(R281="",P281=0),"",R281/P281)</f>
        <v/>
      </c>
      <c r="U281" s="13"/>
    </row>
    <row r="282" customFormat="false" ht="15" hidden="false" customHeight="false" outlineLevel="0" collapsed="false">
      <c r="A282" s="13"/>
      <c r="B282" s="16"/>
      <c r="C282" s="13"/>
      <c r="D282" s="13"/>
      <c r="E282" s="13"/>
      <c r="F282" s="17"/>
      <c r="G282" s="13"/>
      <c r="H282" s="18"/>
      <c r="I282" s="13"/>
      <c r="J282" s="18"/>
      <c r="K282" s="13"/>
      <c r="L282" s="18"/>
      <c r="M282" s="19" t="str">
        <f aca="false">IF(COUNT(H282,J282,L282)=0,"",MIN(H282,J282,L282))</f>
        <v/>
      </c>
      <c r="N282" s="14" t="str">
        <f aca="false">IF(M282="","",IF(H282=M282,G282,IF(J282=M282,I282,K282)))</f>
        <v/>
      </c>
      <c r="O282" s="19" t="str">
        <f aca="false">IF(M282="","",M282*F282)</f>
        <v/>
      </c>
      <c r="P282" s="18"/>
      <c r="Q282" s="18"/>
      <c r="R282" s="19" t="str">
        <f aca="false">IF(OR(P282="",Q282=""),"",P282-Q282)</f>
        <v/>
      </c>
      <c r="S282" s="19" t="str">
        <f aca="false">IF(R282="","",R282*F282)</f>
        <v/>
      </c>
      <c r="T282" s="20" t="str">
        <f aca="false">IF(OR(R282="",P282=0),"",R282/P282)</f>
        <v/>
      </c>
      <c r="U282" s="13"/>
    </row>
    <row r="283" customFormat="false" ht="15" hidden="false" customHeight="false" outlineLevel="0" collapsed="false">
      <c r="A283" s="13"/>
      <c r="B283" s="16"/>
      <c r="C283" s="13"/>
      <c r="D283" s="13"/>
      <c r="E283" s="13"/>
      <c r="F283" s="17"/>
      <c r="G283" s="13"/>
      <c r="H283" s="18"/>
      <c r="I283" s="13"/>
      <c r="J283" s="18"/>
      <c r="K283" s="13"/>
      <c r="L283" s="18"/>
      <c r="M283" s="19" t="str">
        <f aca="false">IF(COUNT(H283,J283,L283)=0,"",MIN(H283,J283,L283))</f>
        <v/>
      </c>
      <c r="N283" s="14" t="str">
        <f aca="false">IF(M283="","",IF(H283=M283,G283,IF(J283=M283,I283,K283)))</f>
        <v/>
      </c>
      <c r="O283" s="19" t="str">
        <f aca="false">IF(M283="","",M283*F283)</f>
        <v/>
      </c>
      <c r="P283" s="18"/>
      <c r="Q283" s="18"/>
      <c r="R283" s="19" t="str">
        <f aca="false">IF(OR(P283="",Q283=""),"",P283-Q283)</f>
        <v/>
      </c>
      <c r="S283" s="19" t="str">
        <f aca="false">IF(R283="","",R283*F283)</f>
        <v/>
      </c>
      <c r="T283" s="20" t="str">
        <f aca="false">IF(OR(R283="",P283=0),"",R283/P283)</f>
        <v/>
      </c>
      <c r="U283" s="13"/>
    </row>
    <row r="284" customFormat="false" ht="15" hidden="false" customHeight="false" outlineLevel="0" collapsed="false">
      <c r="A284" s="13"/>
      <c r="B284" s="16"/>
      <c r="C284" s="13"/>
      <c r="D284" s="13"/>
      <c r="E284" s="13"/>
      <c r="F284" s="17"/>
      <c r="G284" s="13"/>
      <c r="H284" s="18"/>
      <c r="I284" s="13"/>
      <c r="J284" s="18"/>
      <c r="K284" s="13"/>
      <c r="L284" s="18"/>
      <c r="M284" s="19" t="str">
        <f aca="false">IF(COUNT(H284,J284,L284)=0,"",MIN(H284,J284,L284))</f>
        <v/>
      </c>
      <c r="N284" s="14" t="str">
        <f aca="false">IF(M284="","",IF(H284=M284,G284,IF(J284=M284,I284,K284)))</f>
        <v/>
      </c>
      <c r="O284" s="19" t="str">
        <f aca="false">IF(M284="","",M284*F284)</f>
        <v/>
      </c>
      <c r="P284" s="18"/>
      <c r="Q284" s="18"/>
      <c r="R284" s="19" t="str">
        <f aca="false">IF(OR(P284="",Q284=""),"",P284-Q284)</f>
        <v/>
      </c>
      <c r="S284" s="19" t="str">
        <f aca="false">IF(R284="","",R284*F284)</f>
        <v/>
      </c>
      <c r="T284" s="20" t="str">
        <f aca="false">IF(OR(R284="",P284=0),"",R284/P284)</f>
        <v/>
      </c>
      <c r="U284" s="13"/>
    </row>
    <row r="285" customFormat="false" ht="15" hidden="false" customHeight="false" outlineLevel="0" collapsed="false">
      <c r="A285" s="13"/>
      <c r="B285" s="16"/>
      <c r="C285" s="13"/>
      <c r="D285" s="13"/>
      <c r="E285" s="13"/>
      <c r="F285" s="17"/>
      <c r="G285" s="13"/>
      <c r="H285" s="18"/>
      <c r="I285" s="13"/>
      <c r="J285" s="18"/>
      <c r="K285" s="13"/>
      <c r="L285" s="18"/>
      <c r="M285" s="19" t="str">
        <f aca="false">IF(COUNT(H285,J285,L285)=0,"",MIN(H285,J285,L285))</f>
        <v/>
      </c>
      <c r="N285" s="14" t="str">
        <f aca="false">IF(M285="","",IF(H285=M285,G285,IF(J285=M285,I285,K285)))</f>
        <v/>
      </c>
      <c r="O285" s="19" t="str">
        <f aca="false">IF(M285="","",M285*F285)</f>
        <v/>
      </c>
      <c r="P285" s="18"/>
      <c r="Q285" s="18"/>
      <c r="R285" s="19" t="str">
        <f aca="false">IF(OR(P285="",Q285=""),"",P285-Q285)</f>
        <v/>
      </c>
      <c r="S285" s="19" t="str">
        <f aca="false">IF(R285="","",R285*F285)</f>
        <v/>
      </c>
      <c r="T285" s="20" t="str">
        <f aca="false">IF(OR(R285="",P285=0),"",R285/P285)</f>
        <v/>
      </c>
      <c r="U285" s="13"/>
    </row>
    <row r="286" customFormat="false" ht="15" hidden="false" customHeight="false" outlineLevel="0" collapsed="false">
      <c r="A286" s="13"/>
      <c r="B286" s="16"/>
      <c r="C286" s="13"/>
      <c r="D286" s="13"/>
      <c r="E286" s="13"/>
      <c r="F286" s="17"/>
      <c r="G286" s="13"/>
      <c r="H286" s="18"/>
      <c r="I286" s="13"/>
      <c r="J286" s="18"/>
      <c r="K286" s="13"/>
      <c r="L286" s="18"/>
      <c r="M286" s="19" t="str">
        <f aca="false">IF(COUNT(H286,J286,L286)=0,"",MIN(H286,J286,L286))</f>
        <v/>
      </c>
      <c r="N286" s="14" t="str">
        <f aca="false">IF(M286="","",IF(H286=M286,G286,IF(J286=M286,I286,K286)))</f>
        <v/>
      </c>
      <c r="O286" s="19" t="str">
        <f aca="false">IF(M286="","",M286*F286)</f>
        <v/>
      </c>
      <c r="P286" s="18"/>
      <c r="Q286" s="18"/>
      <c r="R286" s="19" t="str">
        <f aca="false">IF(OR(P286="",Q286=""),"",P286-Q286)</f>
        <v/>
      </c>
      <c r="S286" s="19" t="str">
        <f aca="false">IF(R286="","",R286*F286)</f>
        <v/>
      </c>
      <c r="T286" s="20" t="str">
        <f aca="false">IF(OR(R286="",P286=0),"",R286/P286)</f>
        <v/>
      </c>
      <c r="U286" s="13"/>
    </row>
    <row r="287" customFormat="false" ht="15" hidden="false" customHeight="false" outlineLevel="0" collapsed="false">
      <c r="A287" s="13"/>
      <c r="B287" s="16"/>
      <c r="C287" s="13"/>
      <c r="D287" s="13"/>
      <c r="E287" s="13"/>
      <c r="F287" s="17"/>
      <c r="G287" s="13"/>
      <c r="H287" s="18"/>
      <c r="I287" s="13"/>
      <c r="J287" s="18"/>
      <c r="K287" s="13"/>
      <c r="L287" s="18"/>
      <c r="M287" s="19" t="str">
        <f aca="false">IF(COUNT(H287,J287,L287)=0,"",MIN(H287,J287,L287))</f>
        <v/>
      </c>
      <c r="N287" s="14" t="str">
        <f aca="false">IF(M287="","",IF(H287=M287,G287,IF(J287=M287,I287,K287)))</f>
        <v/>
      </c>
      <c r="O287" s="19" t="str">
        <f aca="false">IF(M287="","",M287*F287)</f>
        <v/>
      </c>
      <c r="P287" s="18"/>
      <c r="Q287" s="18"/>
      <c r="R287" s="19" t="str">
        <f aca="false">IF(OR(P287="",Q287=""),"",P287-Q287)</f>
        <v/>
      </c>
      <c r="S287" s="19" t="str">
        <f aca="false">IF(R287="","",R287*F287)</f>
        <v/>
      </c>
      <c r="T287" s="20" t="str">
        <f aca="false">IF(OR(R287="",P287=0),"",R287/P287)</f>
        <v/>
      </c>
      <c r="U287" s="13"/>
    </row>
    <row r="288" customFormat="false" ht="15" hidden="false" customHeight="false" outlineLevel="0" collapsed="false">
      <c r="A288" s="13"/>
      <c r="B288" s="16"/>
      <c r="C288" s="13"/>
      <c r="D288" s="13"/>
      <c r="E288" s="13"/>
      <c r="F288" s="17"/>
      <c r="G288" s="13"/>
      <c r="H288" s="18"/>
      <c r="I288" s="13"/>
      <c r="J288" s="18"/>
      <c r="K288" s="13"/>
      <c r="L288" s="18"/>
      <c r="M288" s="19" t="str">
        <f aca="false">IF(COUNT(H288,J288,L288)=0,"",MIN(H288,J288,L288))</f>
        <v/>
      </c>
      <c r="N288" s="14" t="str">
        <f aca="false">IF(M288="","",IF(H288=M288,G288,IF(J288=M288,I288,K288)))</f>
        <v/>
      </c>
      <c r="O288" s="19" t="str">
        <f aca="false">IF(M288="","",M288*F288)</f>
        <v/>
      </c>
      <c r="P288" s="18"/>
      <c r="Q288" s="18"/>
      <c r="R288" s="19" t="str">
        <f aca="false">IF(OR(P288="",Q288=""),"",P288-Q288)</f>
        <v/>
      </c>
      <c r="S288" s="19" t="str">
        <f aca="false">IF(R288="","",R288*F288)</f>
        <v/>
      </c>
      <c r="T288" s="20" t="str">
        <f aca="false">IF(OR(R288="",P288=0),"",R288/P288)</f>
        <v/>
      </c>
      <c r="U288" s="13"/>
    </row>
    <row r="289" customFormat="false" ht="15" hidden="false" customHeight="false" outlineLevel="0" collapsed="false">
      <c r="A289" s="13"/>
      <c r="B289" s="16"/>
      <c r="C289" s="13"/>
      <c r="D289" s="13"/>
      <c r="E289" s="13"/>
      <c r="F289" s="17"/>
      <c r="G289" s="13"/>
      <c r="H289" s="18"/>
      <c r="I289" s="13"/>
      <c r="J289" s="18"/>
      <c r="K289" s="13"/>
      <c r="L289" s="18"/>
      <c r="M289" s="19" t="str">
        <f aca="false">IF(COUNT(H289,J289,L289)=0,"",MIN(H289,J289,L289))</f>
        <v/>
      </c>
      <c r="N289" s="14" t="str">
        <f aca="false">IF(M289="","",IF(H289=M289,G289,IF(J289=M289,I289,K289)))</f>
        <v/>
      </c>
      <c r="O289" s="19" t="str">
        <f aca="false">IF(M289="","",M289*F289)</f>
        <v/>
      </c>
      <c r="P289" s="18"/>
      <c r="Q289" s="18"/>
      <c r="R289" s="19" t="str">
        <f aca="false">IF(OR(P289="",Q289=""),"",P289-Q289)</f>
        <v/>
      </c>
      <c r="S289" s="19" t="str">
        <f aca="false">IF(R289="","",R289*F289)</f>
        <v/>
      </c>
      <c r="T289" s="20" t="str">
        <f aca="false">IF(OR(R289="",P289=0),"",R289/P289)</f>
        <v/>
      </c>
      <c r="U289" s="13"/>
    </row>
    <row r="290" customFormat="false" ht="15" hidden="false" customHeight="false" outlineLevel="0" collapsed="false">
      <c r="A290" s="13"/>
      <c r="B290" s="16"/>
      <c r="C290" s="13"/>
      <c r="D290" s="13"/>
      <c r="E290" s="13"/>
      <c r="F290" s="17"/>
      <c r="G290" s="13"/>
      <c r="H290" s="18"/>
      <c r="I290" s="13"/>
      <c r="J290" s="18"/>
      <c r="K290" s="13"/>
      <c r="L290" s="18"/>
      <c r="M290" s="19" t="str">
        <f aca="false">IF(COUNT(H290,J290,L290)=0,"",MIN(H290,J290,L290))</f>
        <v/>
      </c>
      <c r="N290" s="14" t="str">
        <f aca="false">IF(M290="","",IF(H290=M290,G290,IF(J290=M290,I290,K290)))</f>
        <v/>
      </c>
      <c r="O290" s="19" t="str">
        <f aca="false">IF(M290="","",M290*F290)</f>
        <v/>
      </c>
      <c r="P290" s="18"/>
      <c r="Q290" s="18"/>
      <c r="R290" s="19" t="str">
        <f aca="false">IF(OR(P290="",Q290=""),"",P290-Q290)</f>
        <v/>
      </c>
      <c r="S290" s="19" t="str">
        <f aca="false">IF(R290="","",R290*F290)</f>
        <v/>
      </c>
      <c r="T290" s="20" t="str">
        <f aca="false">IF(OR(R290="",P290=0),"",R290/P290)</f>
        <v/>
      </c>
      <c r="U290" s="13"/>
    </row>
    <row r="291" customFormat="false" ht="15" hidden="false" customHeight="false" outlineLevel="0" collapsed="false">
      <c r="A291" s="13"/>
      <c r="B291" s="16"/>
      <c r="C291" s="13"/>
      <c r="D291" s="13"/>
      <c r="E291" s="13"/>
      <c r="F291" s="17"/>
      <c r="G291" s="13"/>
      <c r="H291" s="18"/>
      <c r="I291" s="13"/>
      <c r="J291" s="18"/>
      <c r="K291" s="13"/>
      <c r="L291" s="18"/>
      <c r="M291" s="19" t="str">
        <f aca="false">IF(COUNT(H291,J291,L291)=0,"",MIN(H291,J291,L291))</f>
        <v/>
      </c>
      <c r="N291" s="14" t="str">
        <f aca="false">IF(M291="","",IF(H291=M291,G291,IF(J291=M291,I291,K291)))</f>
        <v/>
      </c>
      <c r="O291" s="19" t="str">
        <f aca="false">IF(M291="","",M291*F291)</f>
        <v/>
      </c>
      <c r="P291" s="18"/>
      <c r="Q291" s="18"/>
      <c r="R291" s="19" t="str">
        <f aca="false">IF(OR(P291="",Q291=""),"",P291-Q291)</f>
        <v/>
      </c>
      <c r="S291" s="19" t="str">
        <f aca="false">IF(R291="","",R291*F291)</f>
        <v/>
      </c>
      <c r="T291" s="20" t="str">
        <f aca="false">IF(OR(R291="",P291=0),"",R291/P291)</f>
        <v/>
      </c>
      <c r="U291" s="13"/>
    </row>
    <row r="292" customFormat="false" ht="15" hidden="false" customHeight="false" outlineLevel="0" collapsed="false">
      <c r="A292" s="13"/>
      <c r="B292" s="16"/>
      <c r="C292" s="13"/>
      <c r="D292" s="13"/>
      <c r="E292" s="13"/>
      <c r="F292" s="17"/>
      <c r="G292" s="13"/>
      <c r="H292" s="18"/>
      <c r="I292" s="13"/>
      <c r="J292" s="18"/>
      <c r="K292" s="13"/>
      <c r="L292" s="18"/>
      <c r="M292" s="19" t="str">
        <f aca="false">IF(COUNT(H292,J292,L292)=0,"",MIN(H292,J292,L292))</f>
        <v/>
      </c>
      <c r="N292" s="14" t="str">
        <f aca="false">IF(M292="","",IF(H292=M292,G292,IF(J292=M292,I292,K292)))</f>
        <v/>
      </c>
      <c r="O292" s="19" t="str">
        <f aca="false">IF(M292="","",M292*F292)</f>
        <v/>
      </c>
      <c r="P292" s="18"/>
      <c r="Q292" s="18"/>
      <c r="R292" s="19" t="str">
        <f aca="false">IF(OR(P292="",Q292=""),"",P292-Q292)</f>
        <v/>
      </c>
      <c r="S292" s="19" t="str">
        <f aca="false">IF(R292="","",R292*F292)</f>
        <v/>
      </c>
      <c r="T292" s="20" t="str">
        <f aca="false">IF(OR(R292="",P292=0),"",R292/P292)</f>
        <v/>
      </c>
      <c r="U292" s="13"/>
    </row>
    <row r="293" customFormat="false" ht="15" hidden="false" customHeight="false" outlineLevel="0" collapsed="false">
      <c r="A293" s="13"/>
      <c r="B293" s="16"/>
      <c r="C293" s="13"/>
      <c r="D293" s="13"/>
      <c r="E293" s="13"/>
      <c r="F293" s="17"/>
      <c r="G293" s="13"/>
      <c r="H293" s="18"/>
      <c r="I293" s="13"/>
      <c r="J293" s="18"/>
      <c r="K293" s="13"/>
      <c r="L293" s="18"/>
      <c r="M293" s="19" t="str">
        <f aca="false">IF(COUNT(H293,J293,L293)=0,"",MIN(H293,J293,L293))</f>
        <v/>
      </c>
      <c r="N293" s="14" t="str">
        <f aca="false">IF(M293="","",IF(H293=M293,G293,IF(J293=M293,I293,K293)))</f>
        <v/>
      </c>
      <c r="O293" s="19" t="str">
        <f aca="false">IF(M293="","",M293*F293)</f>
        <v/>
      </c>
      <c r="P293" s="18"/>
      <c r="Q293" s="18"/>
      <c r="R293" s="19" t="str">
        <f aca="false">IF(OR(P293="",Q293=""),"",P293-Q293)</f>
        <v/>
      </c>
      <c r="S293" s="19" t="str">
        <f aca="false">IF(R293="","",R293*F293)</f>
        <v/>
      </c>
      <c r="T293" s="20" t="str">
        <f aca="false">IF(OR(R293="",P293=0),"",R293/P293)</f>
        <v/>
      </c>
      <c r="U293" s="13"/>
    </row>
    <row r="294" customFormat="false" ht="15" hidden="false" customHeight="false" outlineLevel="0" collapsed="false">
      <c r="A294" s="13"/>
      <c r="B294" s="16"/>
      <c r="C294" s="13"/>
      <c r="D294" s="13"/>
      <c r="E294" s="13"/>
      <c r="F294" s="17"/>
      <c r="G294" s="13"/>
      <c r="H294" s="18"/>
      <c r="I294" s="13"/>
      <c r="J294" s="18"/>
      <c r="K294" s="13"/>
      <c r="L294" s="18"/>
      <c r="M294" s="19" t="str">
        <f aca="false">IF(COUNT(H294,J294,L294)=0,"",MIN(H294,J294,L294))</f>
        <v/>
      </c>
      <c r="N294" s="14" t="str">
        <f aca="false">IF(M294="","",IF(H294=M294,G294,IF(J294=M294,I294,K294)))</f>
        <v/>
      </c>
      <c r="O294" s="19" t="str">
        <f aca="false">IF(M294="","",M294*F294)</f>
        <v/>
      </c>
      <c r="P294" s="18"/>
      <c r="Q294" s="18"/>
      <c r="R294" s="19" t="str">
        <f aca="false">IF(OR(P294="",Q294=""),"",P294-Q294)</f>
        <v/>
      </c>
      <c r="S294" s="19" t="str">
        <f aca="false">IF(R294="","",R294*F294)</f>
        <v/>
      </c>
      <c r="T294" s="20" t="str">
        <f aca="false">IF(OR(R294="",P294=0),"",R294/P294)</f>
        <v/>
      </c>
      <c r="U294" s="13"/>
    </row>
    <row r="295" customFormat="false" ht="15" hidden="false" customHeight="false" outlineLevel="0" collapsed="false">
      <c r="A295" s="13"/>
      <c r="B295" s="16"/>
      <c r="C295" s="13"/>
      <c r="D295" s="13"/>
      <c r="E295" s="13"/>
      <c r="F295" s="17"/>
      <c r="G295" s="13"/>
      <c r="H295" s="18"/>
      <c r="I295" s="13"/>
      <c r="J295" s="18"/>
      <c r="K295" s="13"/>
      <c r="L295" s="18"/>
      <c r="M295" s="19" t="str">
        <f aca="false">IF(COUNT(H295,J295,L295)=0,"",MIN(H295,J295,L295))</f>
        <v/>
      </c>
      <c r="N295" s="14" t="str">
        <f aca="false">IF(M295="","",IF(H295=M295,G295,IF(J295=M295,I295,K295)))</f>
        <v/>
      </c>
      <c r="O295" s="19" t="str">
        <f aca="false">IF(M295="","",M295*F295)</f>
        <v/>
      </c>
      <c r="P295" s="18"/>
      <c r="Q295" s="18"/>
      <c r="R295" s="19" t="str">
        <f aca="false">IF(OR(P295="",Q295=""),"",P295-Q295)</f>
        <v/>
      </c>
      <c r="S295" s="19" t="str">
        <f aca="false">IF(R295="","",R295*F295)</f>
        <v/>
      </c>
      <c r="T295" s="20" t="str">
        <f aca="false">IF(OR(R295="",P295=0),"",R295/P295)</f>
        <v/>
      </c>
      <c r="U295" s="13"/>
    </row>
    <row r="296" customFormat="false" ht="15" hidden="false" customHeight="false" outlineLevel="0" collapsed="false">
      <c r="A296" s="13"/>
      <c r="B296" s="16"/>
      <c r="C296" s="13"/>
      <c r="D296" s="13"/>
      <c r="E296" s="13"/>
      <c r="F296" s="17"/>
      <c r="G296" s="13"/>
      <c r="H296" s="18"/>
      <c r="I296" s="13"/>
      <c r="J296" s="18"/>
      <c r="K296" s="13"/>
      <c r="L296" s="18"/>
      <c r="M296" s="19" t="str">
        <f aca="false">IF(COUNT(H296,J296,L296)=0,"",MIN(H296,J296,L296))</f>
        <v/>
      </c>
      <c r="N296" s="14" t="str">
        <f aca="false">IF(M296="","",IF(H296=M296,G296,IF(J296=M296,I296,K296)))</f>
        <v/>
      </c>
      <c r="O296" s="19" t="str">
        <f aca="false">IF(M296="","",M296*F296)</f>
        <v/>
      </c>
      <c r="P296" s="18"/>
      <c r="Q296" s="18"/>
      <c r="R296" s="19" t="str">
        <f aca="false">IF(OR(P296="",Q296=""),"",P296-Q296)</f>
        <v/>
      </c>
      <c r="S296" s="19" t="str">
        <f aca="false">IF(R296="","",R296*F296)</f>
        <v/>
      </c>
      <c r="T296" s="20" t="str">
        <f aca="false">IF(OR(R296="",P296=0),"",R296/P296)</f>
        <v/>
      </c>
      <c r="U296" s="13"/>
    </row>
    <row r="297" customFormat="false" ht="15" hidden="false" customHeight="false" outlineLevel="0" collapsed="false">
      <c r="A297" s="13"/>
      <c r="B297" s="16"/>
      <c r="C297" s="13"/>
      <c r="D297" s="13"/>
      <c r="E297" s="13"/>
      <c r="F297" s="17"/>
      <c r="G297" s="13"/>
      <c r="H297" s="18"/>
      <c r="I297" s="13"/>
      <c r="J297" s="18"/>
      <c r="K297" s="13"/>
      <c r="L297" s="18"/>
      <c r="M297" s="19" t="str">
        <f aca="false">IF(COUNT(H297,J297,L297)=0,"",MIN(H297,J297,L297))</f>
        <v/>
      </c>
      <c r="N297" s="14" t="str">
        <f aca="false">IF(M297="","",IF(H297=M297,G297,IF(J297=M297,I297,K297)))</f>
        <v/>
      </c>
      <c r="O297" s="19" t="str">
        <f aca="false">IF(M297="","",M297*F297)</f>
        <v/>
      </c>
      <c r="P297" s="18"/>
      <c r="Q297" s="18"/>
      <c r="R297" s="19" t="str">
        <f aca="false">IF(OR(P297="",Q297=""),"",P297-Q297)</f>
        <v/>
      </c>
      <c r="S297" s="19" t="str">
        <f aca="false">IF(R297="","",R297*F297)</f>
        <v/>
      </c>
      <c r="T297" s="20" t="str">
        <f aca="false">IF(OR(R297="",P297=0),"",R297/P297)</f>
        <v/>
      </c>
      <c r="U297" s="13"/>
    </row>
    <row r="298" customFormat="false" ht="15" hidden="false" customHeight="false" outlineLevel="0" collapsed="false">
      <c r="A298" s="13"/>
      <c r="B298" s="16"/>
      <c r="C298" s="13"/>
      <c r="D298" s="13"/>
      <c r="E298" s="13"/>
      <c r="F298" s="17"/>
      <c r="G298" s="13"/>
      <c r="H298" s="18"/>
      <c r="I298" s="13"/>
      <c r="J298" s="18"/>
      <c r="K298" s="13"/>
      <c r="L298" s="18"/>
      <c r="M298" s="19" t="str">
        <f aca="false">IF(COUNT(H298,J298,L298)=0,"",MIN(H298,J298,L298))</f>
        <v/>
      </c>
      <c r="N298" s="14" t="str">
        <f aca="false">IF(M298="","",IF(H298=M298,G298,IF(J298=M298,I298,K298)))</f>
        <v/>
      </c>
      <c r="O298" s="19" t="str">
        <f aca="false">IF(M298="","",M298*F298)</f>
        <v/>
      </c>
      <c r="P298" s="18"/>
      <c r="Q298" s="18"/>
      <c r="R298" s="19" t="str">
        <f aca="false">IF(OR(P298="",Q298=""),"",P298-Q298)</f>
        <v/>
      </c>
      <c r="S298" s="19" t="str">
        <f aca="false">IF(R298="","",R298*F298)</f>
        <v/>
      </c>
      <c r="T298" s="20" t="str">
        <f aca="false">IF(OR(R298="",P298=0),"",R298/P298)</f>
        <v/>
      </c>
      <c r="U298" s="13"/>
    </row>
    <row r="299" customFormat="false" ht="15" hidden="false" customHeight="false" outlineLevel="0" collapsed="false">
      <c r="A299" s="13"/>
      <c r="B299" s="16"/>
      <c r="C299" s="13"/>
      <c r="D299" s="13"/>
      <c r="E299" s="13"/>
      <c r="F299" s="17"/>
      <c r="G299" s="13"/>
      <c r="H299" s="18"/>
      <c r="I299" s="13"/>
      <c r="J299" s="18"/>
      <c r="K299" s="13"/>
      <c r="L299" s="18"/>
      <c r="M299" s="19" t="str">
        <f aca="false">IF(COUNT(H299,J299,L299)=0,"",MIN(H299,J299,L299))</f>
        <v/>
      </c>
      <c r="N299" s="14" t="str">
        <f aca="false">IF(M299="","",IF(H299=M299,G299,IF(J299=M299,I299,K299)))</f>
        <v/>
      </c>
      <c r="O299" s="19" t="str">
        <f aca="false">IF(M299="","",M299*F299)</f>
        <v/>
      </c>
      <c r="P299" s="18"/>
      <c r="Q299" s="18"/>
      <c r="R299" s="19" t="str">
        <f aca="false">IF(OR(P299="",Q299=""),"",P299-Q299)</f>
        <v/>
      </c>
      <c r="S299" s="19" t="str">
        <f aca="false">IF(R299="","",R299*F299)</f>
        <v/>
      </c>
      <c r="T299" s="20" t="str">
        <f aca="false">IF(OR(R299="",P299=0),"",R299/P299)</f>
        <v/>
      </c>
      <c r="U299" s="13"/>
    </row>
    <row r="300" customFormat="false" ht="15" hidden="false" customHeight="false" outlineLevel="0" collapsed="false">
      <c r="A300" s="13"/>
      <c r="B300" s="16"/>
      <c r="C300" s="13"/>
      <c r="D300" s="13"/>
      <c r="E300" s="13"/>
      <c r="F300" s="17"/>
      <c r="G300" s="13"/>
      <c r="H300" s="18"/>
      <c r="I300" s="13"/>
      <c r="J300" s="18"/>
      <c r="K300" s="13"/>
      <c r="L300" s="18"/>
      <c r="M300" s="19" t="str">
        <f aca="false">IF(COUNT(H300,J300,L300)=0,"",MIN(H300,J300,L300))</f>
        <v/>
      </c>
      <c r="N300" s="14" t="str">
        <f aca="false">IF(M300="","",IF(H300=M300,G300,IF(J300=M300,I300,K300)))</f>
        <v/>
      </c>
      <c r="O300" s="19" t="str">
        <f aca="false">IF(M300="","",M300*F300)</f>
        <v/>
      </c>
      <c r="P300" s="18"/>
      <c r="Q300" s="18"/>
      <c r="R300" s="19" t="str">
        <f aca="false">IF(OR(P300="",Q300=""),"",P300-Q300)</f>
        <v/>
      </c>
      <c r="S300" s="19" t="str">
        <f aca="false">IF(R300="","",R300*F300)</f>
        <v/>
      </c>
      <c r="T300" s="20" t="str">
        <f aca="false">IF(OR(R300="",P300=0),"",R300/P300)</f>
        <v/>
      </c>
      <c r="U300" s="13"/>
    </row>
    <row r="301" customFormat="false" ht="15" hidden="false" customHeight="false" outlineLevel="0" collapsed="false">
      <c r="A301" s="13"/>
      <c r="B301" s="16"/>
      <c r="C301" s="13"/>
      <c r="D301" s="13"/>
      <c r="E301" s="13"/>
      <c r="F301" s="17"/>
      <c r="G301" s="13"/>
      <c r="H301" s="18"/>
      <c r="I301" s="13"/>
      <c r="J301" s="18"/>
      <c r="K301" s="13"/>
      <c r="L301" s="18"/>
      <c r="M301" s="19" t="str">
        <f aca="false">IF(COUNT(H301,J301,L301)=0,"",MIN(H301,J301,L301))</f>
        <v/>
      </c>
      <c r="N301" s="14" t="str">
        <f aca="false">IF(M301="","",IF(H301=M301,G301,IF(J301=M301,I301,K301)))</f>
        <v/>
      </c>
      <c r="O301" s="19" t="str">
        <f aca="false">IF(M301="","",M301*F301)</f>
        <v/>
      </c>
      <c r="P301" s="18"/>
      <c r="Q301" s="18"/>
      <c r="R301" s="19" t="str">
        <f aca="false">IF(OR(P301="",Q301=""),"",P301-Q301)</f>
        <v/>
      </c>
      <c r="S301" s="19" t="str">
        <f aca="false">IF(R301="","",R301*F301)</f>
        <v/>
      </c>
      <c r="T301" s="20" t="str">
        <f aca="false">IF(OR(R301="",P301=0),"",R301/P301)</f>
        <v/>
      </c>
      <c r="U301" s="13"/>
    </row>
    <row r="302" customFormat="false" ht="15" hidden="false" customHeight="false" outlineLevel="0" collapsed="false">
      <c r="A302" s="13"/>
      <c r="B302" s="16"/>
      <c r="C302" s="13"/>
      <c r="D302" s="13"/>
      <c r="E302" s="13"/>
      <c r="F302" s="17"/>
      <c r="G302" s="13"/>
      <c r="H302" s="18"/>
      <c r="I302" s="13"/>
      <c r="J302" s="18"/>
      <c r="K302" s="13"/>
      <c r="L302" s="18"/>
      <c r="M302" s="19" t="str">
        <f aca="false">IF(COUNT(H302,J302,L302)=0,"",MIN(H302,J302,L302))</f>
        <v/>
      </c>
      <c r="N302" s="14" t="str">
        <f aca="false">IF(M302="","",IF(H302=M302,G302,IF(J302=M302,I302,K302)))</f>
        <v/>
      </c>
      <c r="O302" s="19" t="str">
        <f aca="false">IF(M302="","",M302*F302)</f>
        <v/>
      </c>
      <c r="P302" s="18"/>
      <c r="Q302" s="18"/>
      <c r="R302" s="19" t="str">
        <f aca="false">IF(OR(P302="",Q302=""),"",P302-Q302)</f>
        <v/>
      </c>
      <c r="S302" s="19" t="str">
        <f aca="false">IF(R302="","",R302*F302)</f>
        <v/>
      </c>
      <c r="T302" s="20" t="str">
        <f aca="false">IF(OR(R302="",P302=0),"",R302/P302)</f>
        <v/>
      </c>
      <c r="U302" s="13"/>
    </row>
    <row r="303" customFormat="false" ht="15" hidden="false" customHeight="false" outlineLevel="0" collapsed="false">
      <c r="A303" s="13"/>
      <c r="B303" s="16"/>
      <c r="C303" s="13"/>
      <c r="D303" s="13"/>
      <c r="E303" s="13"/>
      <c r="F303" s="17"/>
      <c r="G303" s="13"/>
      <c r="H303" s="18"/>
      <c r="I303" s="13"/>
      <c r="J303" s="18"/>
      <c r="K303" s="13"/>
      <c r="L303" s="18"/>
      <c r="M303" s="19" t="str">
        <f aca="false">IF(COUNT(H303,J303,L303)=0,"",MIN(H303,J303,L303))</f>
        <v/>
      </c>
      <c r="N303" s="14" t="str">
        <f aca="false">IF(M303="","",IF(H303=M303,G303,IF(J303=M303,I303,K303)))</f>
        <v/>
      </c>
      <c r="O303" s="19" t="str">
        <f aca="false">IF(M303="","",M303*F303)</f>
        <v/>
      </c>
      <c r="P303" s="18"/>
      <c r="Q303" s="18"/>
      <c r="R303" s="19" t="str">
        <f aca="false">IF(OR(P303="",Q303=""),"",P303-Q303)</f>
        <v/>
      </c>
      <c r="S303" s="19" t="str">
        <f aca="false">IF(R303="","",R303*F303)</f>
        <v/>
      </c>
      <c r="T303" s="20" t="str">
        <f aca="false">IF(OR(R303="",P303=0),"",R303/P303)</f>
        <v/>
      </c>
      <c r="U303" s="13"/>
    </row>
    <row r="304" customFormat="false" ht="15" hidden="false" customHeight="false" outlineLevel="0" collapsed="false">
      <c r="A304" s="13"/>
      <c r="B304" s="16"/>
      <c r="C304" s="13"/>
      <c r="D304" s="13"/>
      <c r="E304" s="13"/>
      <c r="F304" s="17"/>
      <c r="G304" s="13"/>
      <c r="H304" s="18"/>
      <c r="I304" s="13"/>
      <c r="J304" s="18"/>
      <c r="K304" s="13"/>
      <c r="L304" s="18"/>
      <c r="M304" s="19" t="str">
        <f aca="false">IF(COUNT(H304,J304,L304)=0,"",MIN(H304,J304,L304))</f>
        <v/>
      </c>
      <c r="N304" s="14" t="str">
        <f aca="false">IF(M304="","",IF(H304=M304,G304,IF(J304=M304,I304,K304)))</f>
        <v/>
      </c>
      <c r="O304" s="19" t="str">
        <f aca="false">IF(M304="","",M304*F304)</f>
        <v/>
      </c>
      <c r="P304" s="18"/>
      <c r="Q304" s="18"/>
      <c r="R304" s="19" t="str">
        <f aca="false">IF(OR(P304="",Q304=""),"",P304-Q304)</f>
        <v/>
      </c>
      <c r="S304" s="19" t="str">
        <f aca="false">IF(R304="","",R304*F304)</f>
        <v/>
      </c>
      <c r="T304" s="20" t="str">
        <f aca="false">IF(OR(R304="",P304=0),"",R304/P304)</f>
        <v/>
      </c>
      <c r="U304" s="13"/>
    </row>
  </sheetData>
  <autoFilter ref="A4:U304"/>
  <dataValidations count="5">
    <dataValidation allowBlank="true" errorStyle="stop" operator="between" showDropDown="false" showErrorMessage="false" showInputMessage="false" sqref="G5:G304" type="list">
      <formula1>Parametros!$C$7:$C$36</formula1>
      <formula2>0</formula2>
    </dataValidation>
    <dataValidation allowBlank="true" errorStyle="stop" operator="between" showDropDown="false" showErrorMessage="false" showInputMessage="false" sqref="I5:I304" type="list">
      <formula1>Parametros!$C$7:$C$36</formula1>
      <formula2>0</formula2>
    </dataValidation>
    <dataValidation allowBlank="true" errorStyle="stop" operator="between" showDropDown="false" showErrorMessage="false" showInputMessage="false" sqref="K5:K304" type="list">
      <formula1>Parametros!$C$7:$C$36</formula1>
      <formula2>0</formula2>
    </dataValidation>
    <dataValidation allowBlank="true" errorStyle="stop" operator="between" showDropDown="false" showErrorMessage="false" showInputMessage="false" sqref="U5:U304" type="list">
      <formula1>Parametros!$C$7:$C$36</formula1>
      <formula2>0</formula2>
    </dataValidation>
    <dataValidation allowBlank="true" errorStyle="stop" operator="between" showDropDown="false" showErrorMessage="false" showInputMessage="false" sqref="C5:C304" type="list">
      <formula1>Parametros!$B$7:$B$36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5" min="3" style="0" width="18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9" min="8" style="0" width="12"/>
    <col collapsed="false" customWidth="true" hidden="false" outlineLevel="0" max="11" min="10" style="0" width="10"/>
    <col collapsed="false" customWidth="true" hidden="false" outlineLevel="0" max="13" min="12" style="0" width="11"/>
    <col collapsed="false" customWidth="true" hidden="false" outlineLevel="0" max="16" min="14" style="0" width="9"/>
    <col collapsed="false" customWidth="true" hidden="false" outlineLevel="0" max="17" min="17" style="0" width="7"/>
    <col collapsed="false" customWidth="true" hidden="false" outlineLevel="0" max="19" min="18" style="0" width="9"/>
    <col collapsed="false" customWidth="true" hidden="false" outlineLevel="0" max="20" min="20" style="0" width="10"/>
    <col collapsed="false" customWidth="true" hidden="false" outlineLevel="0" max="21" min="21" style="0" width="11"/>
    <col collapsed="false" customWidth="true" hidden="false" outlineLevel="0" max="22" min="22" style="0" width="12"/>
    <col collapsed="false" customWidth="true" hidden="false" outlineLevel="0" max="23" min="23" style="0" width="13"/>
    <col collapsed="false" customWidth="true" hidden="false" outlineLevel="0" max="24" min="24" style="0" width="12"/>
    <col collapsed="false" customWidth="true" hidden="false" outlineLevel="0" max="25" min="25" style="0" width="13"/>
    <col collapsed="false" customWidth="true" hidden="false" outlineLevel="0" max="26" min="26" style="0" width="12"/>
    <col collapsed="false" customWidth="true" hidden="false" outlineLevel="0" max="27" min="27" style="0" width="16"/>
    <col collapsed="false" customWidth="true" hidden="false" outlineLevel="0" max="28" min="28" style="0" width="13"/>
    <col collapsed="false" customWidth="true" hidden="false" outlineLevel="0" max="29" min="29" style="0" width="11"/>
    <col collapsed="false" customWidth="true" hidden="false" outlineLevel="0" max="30" min="30" style="0" width="30"/>
    <col collapsed="false" customWidth="true" hidden="false" outlineLevel="0" max="31" min="31" style="0" width="28"/>
  </cols>
  <sheetData>
    <row r="1" customFormat="false" ht="17.35" hidden="false" customHeight="false" outlineLevel="0" collapsed="false">
      <c r="A1" s="1" t="s">
        <v>121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customFormat="false" ht="15" hidden="false" customHeight="false" outlineLevel="0" collapsed="false">
      <c r="A2" s="3" t="s">
        <v>122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customFormat="false" ht="42" hidden="false" customHeight="true" outlineLevel="0" collapsed="false">
      <c r="A4" s="15" t="s">
        <v>123</v>
      </c>
      <c r="B4" s="15" t="s">
        <v>124</v>
      </c>
      <c r="C4" s="15" t="s">
        <v>125</v>
      </c>
      <c r="D4" s="15" t="s">
        <v>79</v>
      </c>
      <c r="E4" s="15" t="s">
        <v>126</v>
      </c>
      <c r="F4" s="15" t="s">
        <v>127</v>
      </c>
      <c r="G4" s="15" t="s">
        <v>128</v>
      </c>
      <c r="H4" s="15" t="s">
        <v>129</v>
      </c>
      <c r="I4" s="15" t="s">
        <v>130</v>
      </c>
      <c r="J4" s="15" t="s">
        <v>131</v>
      </c>
      <c r="K4" s="15" t="s">
        <v>132</v>
      </c>
      <c r="L4" s="15" t="s">
        <v>133</v>
      </c>
      <c r="M4" s="15" t="s">
        <v>134</v>
      </c>
      <c r="N4" s="15" t="s">
        <v>135</v>
      </c>
      <c r="O4" s="15" t="s">
        <v>136</v>
      </c>
      <c r="P4" s="15" t="s">
        <v>137</v>
      </c>
      <c r="Q4" s="15" t="s">
        <v>138</v>
      </c>
      <c r="R4" s="15" t="s">
        <v>139</v>
      </c>
      <c r="S4" s="15" t="s">
        <v>140</v>
      </c>
      <c r="T4" s="15" t="s">
        <v>141</v>
      </c>
      <c r="U4" s="15" t="s">
        <v>142</v>
      </c>
      <c r="V4" s="15" t="s">
        <v>143</v>
      </c>
      <c r="W4" s="15" t="s">
        <v>144</v>
      </c>
      <c r="X4" s="15" t="s">
        <v>145</v>
      </c>
      <c r="Y4" s="15" t="s">
        <v>86</v>
      </c>
      <c r="Z4" s="15" t="s">
        <v>146</v>
      </c>
      <c r="AA4" s="15" t="s">
        <v>147</v>
      </c>
      <c r="AB4" s="15" t="s">
        <v>148</v>
      </c>
      <c r="AC4" s="15" t="s">
        <v>149</v>
      </c>
      <c r="AD4" s="15" t="s">
        <v>150</v>
      </c>
      <c r="AE4" s="15" t="s">
        <v>87</v>
      </c>
    </row>
    <row r="5" customFormat="false" ht="15" hidden="false" customHeight="false" outlineLevel="0" collapsed="false">
      <c r="A5" s="13" t="s">
        <v>91</v>
      </c>
      <c r="B5" s="16" t="n">
        <v>46299</v>
      </c>
      <c r="C5" s="13" t="s">
        <v>47</v>
      </c>
      <c r="D5" s="13" t="s">
        <v>39</v>
      </c>
      <c r="E5" s="13" t="s">
        <v>45</v>
      </c>
      <c r="F5" s="13" t="s">
        <v>42</v>
      </c>
      <c r="G5" s="18" t="n">
        <v>3384.84</v>
      </c>
      <c r="H5" s="16" t="n">
        <v>46305</v>
      </c>
      <c r="I5" s="16" t="n">
        <v>46305</v>
      </c>
      <c r="J5" s="17" t="n">
        <v>120</v>
      </c>
      <c r="K5" s="17" t="n">
        <v>120</v>
      </c>
      <c r="L5" s="13" t="s">
        <v>43</v>
      </c>
      <c r="M5" s="13" t="s">
        <v>43</v>
      </c>
      <c r="N5" s="13" t="s">
        <v>43</v>
      </c>
      <c r="O5" s="13" t="s">
        <v>43</v>
      </c>
      <c r="P5" s="13" t="s">
        <v>43</v>
      </c>
      <c r="Q5" s="14" t="n">
        <f aca="false">IF(B5="","",MONTH(B5))</f>
        <v>10</v>
      </c>
      <c r="R5" s="20" t="n">
        <f aca="false">IF(OR(J5="",J5=0),"",MIN(1,K5/J5))</f>
        <v>1</v>
      </c>
      <c r="S5" s="21" t="n">
        <f aca="true">IF(H5="","",IF(I5="",MAX(0,TODAY()-H5),MAX(0,I5-H5)))</f>
        <v>0</v>
      </c>
      <c r="T5" s="14" t="str">
        <f aca="false">IF(OR(H5="",I5=""),"",IF(I5&lt;=H5,"S","N"))</f>
        <v>S</v>
      </c>
      <c r="U5" s="14" t="str">
        <f aca="false">IF(A5="","",IF(AND(N5="S",O5="S",P5="S"),"S","N"))</f>
        <v>S</v>
      </c>
      <c r="V5" s="13" t="s">
        <v>43</v>
      </c>
      <c r="W5" s="18" t="n">
        <v>3384.84</v>
      </c>
      <c r="X5" s="19" t="n">
        <f aca="false">IF(W5="","",W5-G5)</f>
        <v>0</v>
      </c>
      <c r="Y5" s="14" t="str">
        <f aca="true">IF(A5="","",IF(K5=0,IF(AND(H5&lt;&gt;"",TODAY()&gt;H5),"Vencida","Pendiente"),IF(K5&lt;J5,"Parcial","Completa")))</f>
        <v>Completa</v>
      </c>
      <c r="Z5" s="16"/>
      <c r="AA5" s="13" t="s">
        <v>151</v>
      </c>
      <c r="AB5" s="14" t="str">
        <f aca="false">IF(W5="","Sin factura",IF(ABS(X5)&lt;=0.01,"OK","Revisar"))</f>
        <v>OK</v>
      </c>
      <c r="AC5" s="13" t="s">
        <v>43</v>
      </c>
      <c r="AD5" s="14" t="str">
        <f aca="false">IF(A5="","",IF(L5="N","Producto no conforme",IF(M5="N","Falta registro sanitario",IF(OR(Y5="Parcial",Y5="Vencida"),IF(Z5="","Reprogramar recepción","Reprogramada "&amp;TEXT(Z5,"dd/mm")),IF(Y5="Pendiente","En espera",IF(U5="N","Completar documentos",IF(AB5="Revisar","Revisar importe facturado",IF(AC5&lt;&gt;"S","Registrar en Kontrollers","OK"))))))))</f>
        <v>OK</v>
      </c>
      <c r="AE5" s="13"/>
    </row>
    <row r="6" customFormat="false" ht="15" hidden="false" customHeight="false" outlineLevel="0" collapsed="false">
      <c r="A6" s="13" t="s">
        <v>98</v>
      </c>
      <c r="B6" s="16" t="n">
        <v>46299</v>
      </c>
      <c r="C6" s="13" t="s">
        <v>40</v>
      </c>
      <c r="D6" s="13" t="s">
        <v>46</v>
      </c>
      <c r="E6" s="13" t="s">
        <v>38</v>
      </c>
      <c r="F6" s="13" t="s">
        <v>49</v>
      </c>
      <c r="G6" s="18" t="n">
        <v>5310</v>
      </c>
      <c r="H6" s="16" t="n">
        <v>46304</v>
      </c>
      <c r="I6" s="16" t="n">
        <v>46306</v>
      </c>
      <c r="J6" s="17" t="n">
        <v>300</v>
      </c>
      <c r="K6" s="17" t="n">
        <v>180</v>
      </c>
      <c r="L6" s="13" t="s">
        <v>43</v>
      </c>
      <c r="M6" s="13" t="s">
        <v>43</v>
      </c>
      <c r="N6" s="13" t="s">
        <v>43</v>
      </c>
      <c r="O6" s="13" t="s">
        <v>43</v>
      </c>
      <c r="P6" s="13" t="s">
        <v>50</v>
      </c>
      <c r="Q6" s="14" t="n">
        <f aca="false">IF(B6="","",MONTH(B6))</f>
        <v>10</v>
      </c>
      <c r="R6" s="20" t="n">
        <f aca="false">IF(OR(J6="",J6=0),"",MIN(1,K6/J6))</f>
        <v>0.6</v>
      </c>
      <c r="S6" s="21" t="n">
        <f aca="true">IF(H6="","",IF(I6="",MAX(0,TODAY()-H6),MAX(0,I6-H6)))</f>
        <v>2</v>
      </c>
      <c r="T6" s="14" t="str">
        <f aca="false">IF(OR(H6="",I6=""),"",IF(I6&lt;=H6,"S","N"))</f>
        <v>N</v>
      </c>
      <c r="U6" s="14" t="str">
        <f aca="false">IF(A6="","",IF(AND(N6="S",O6="S",P6="S"),"S","N"))</f>
        <v>N</v>
      </c>
      <c r="V6" s="13" t="s">
        <v>56</v>
      </c>
      <c r="W6" s="18"/>
      <c r="X6" s="19" t="str">
        <f aca="false">IF(W6="","",W6-G6)</f>
        <v/>
      </c>
      <c r="Y6" s="14" t="str">
        <f aca="true">IF(A6="","",IF(K6=0,IF(AND(H6&lt;&gt;"",TODAY()&gt;H6),"Vencida","Pendiente"),IF(K6&lt;J6,"Parcial","Completa")))</f>
        <v>Parcial</v>
      </c>
      <c r="Z6" s="16" t="n">
        <v>46311</v>
      </c>
      <c r="AA6" s="13" t="s">
        <v>152</v>
      </c>
      <c r="AB6" s="14" t="str">
        <f aca="false">IF(W6="","Sin factura",IF(ABS(X6)&lt;=0.01,"OK","Revisar"))</f>
        <v>Sin factura</v>
      </c>
      <c r="AC6" s="13" t="s">
        <v>50</v>
      </c>
      <c r="AD6" s="14" t="str">
        <f aca="false">IF(A6="","",IF(L6="N","Producto no conforme",IF(M6="N","Falta registro sanitario",IF(OR(Y6="Parcial",Y6="Vencida"),IF(Z6="","Reprogramar recepción","Reprogramada "&amp;TEXT(Z6,"dd/mm")),IF(Y6="Pendiente","En espera",IF(U6="N","Completar documentos",IF(AB6="Revisar","Revisar importe facturado",IF(AC6&lt;&gt;"S","Registrar en Kontrollers","OK"))))))))</f>
        <v>Reprogramada 16/10</v>
      </c>
      <c r="AE6" s="13" t="s">
        <v>153</v>
      </c>
    </row>
    <row r="7" customFormat="false" ht="15" hidden="false" customHeight="false" outlineLevel="0" collapsed="false">
      <c r="A7" s="13" t="s">
        <v>154</v>
      </c>
      <c r="B7" s="16" t="n">
        <v>46300</v>
      </c>
      <c r="C7" s="13" t="s">
        <v>54</v>
      </c>
      <c r="D7" s="13" t="s">
        <v>59</v>
      </c>
      <c r="E7" s="13" t="s">
        <v>52</v>
      </c>
      <c r="F7" s="13" t="s">
        <v>42</v>
      </c>
      <c r="G7" s="18" t="n">
        <v>632.48</v>
      </c>
      <c r="H7" s="16" t="n">
        <v>46307</v>
      </c>
      <c r="I7" s="16"/>
      <c r="J7" s="17" t="n">
        <v>80</v>
      </c>
      <c r="K7" s="17" t="n">
        <v>0</v>
      </c>
      <c r="L7" s="13"/>
      <c r="M7" s="13"/>
      <c r="N7" s="13"/>
      <c r="O7" s="13"/>
      <c r="P7" s="13"/>
      <c r="Q7" s="14" t="n">
        <f aca="false">IF(B7="","",MONTH(B7))</f>
        <v>10</v>
      </c>
      <c r="R7" s="20" t="n">
        <f aca="false">IF(OR(J7="",J7=0),"",MIN(1,K7/J7))</f>
        <v>0</v>
      </c>
      <c r="S7" s="21" t="n">
        <f aca="true">IF(H7="","",IF(I7="",MAX(0,TODAY()-H7),MAX(0,I7-H7)))</f>
        <v>0</v>
      </c>
      <c r="T7" s="14" t="str">
        <f aca="false">IF(OR(H7="",I7=""),"",IF(I7&lt;=H7,"S","N"))</f>
        <v/>
      </c>
      <c r="U7" s="14" t="str">
        <f aca="false">IF(A7="","",IF(AND(N7="S",O7="S",P7="S"),"S","N"))</f>
        <v>N</v>
      </c>
      <c r="V7" s="13" t="s">
        <v>56</v>
      </c>
      <c r="W7" s="18"/>
      <c r="X7" s="19" t="str">
        <f aca="false">IF(W7="","",W7-G7)</f>
        <v/>
      </c>
      <c r="Y7" s="14" t="str">
        <f aca="true">IF(A7="","",IF(K7=0,IF(AND(H7&lt;&gt;"",TODAY()&gt;H7),"Vencida","Pendiente"),IF(K7&lt;J7,"Parcial","Completa")))</f>
        <v>Pendiente</v>
      </c>
      <c r="Z7" s="16"/>
      <c r="AA7" s="13" t="s">
        <v>151</v>
      </c>
      <c r="AB7" s="14" t="str">
        <f aca="false">IF(W7="","Sin factura",IF(ABS(X7)&lt;=0.01,"OK","Revisar"))</f>
        <v>Sin factura</v>
      </c>
      <c r="AC7" s="13" t="s">
        <v>50</v>
      </c>
      <c r="AD7" s="14" t="str">
        <f aca="false">IF(A7="","",IF(L7="N","Producto no conforme",IF(M7="N","Falta registro sanitario",IF(OR(Y7="Parcial",Y7="Vencida"),IF(Z7="","Reprogramar recepción","Reprogramada "&amp;TEXT(Z7,"dd/mm")),IF(Y7="Pendiente","En espera",IF(U7="N","Completar documentos",IF(AB7="Revisar","Revisar importe facturado",IF(AC7&lt;&gt;"S","Registrar en Kontrollers","OK"))))))))</f>
        <v>En espera</v>
      </c>
      <c r="AE7" s="13"/>
    </row>
    <row r="8" customFormat="false" ht="15" hidden="false" customHeight="false" outlineLevel="0" collapsed="false">
      <c r="A8" s="13"/>
      <c r="B8" s="16"/>
      <c r="C8" s="13"/>
      <c r="D8" s="13"/>
      <c r="E8" s="13"/>
      <c r="F8" s="13"/>
      <c r="G8" s="18"/>
      <c r="H8" s="16"/>
      <c r="I8" s="16"/>
      <c r="J8" s="17"/>
      <c r="K8" s="17"/>
      <c r="L8" s="13"/>
      <c r="M8" s="13"/>
      <c r="N8" s="13"/>
      <c r="O8" s="13"/>
      <c r="P8" s="13"/>
      <c r="Q8" s="14" t="str">
        <f aca="false">IF(B8="","",MONTH(B8))</f>
        <v/>
      </c>
      <c r="R8" s="20" t="str">
        <f aca="false">IF(OR(J8="",J8=0),"",MIN(1,K8/J8))</f>
        <v/>
      </c>
      <c r="S8" s="21" t="str">
        <f aca="true">IF(H8="","",IF(I8="",MAX(0,TODAY()-H8),MAX(0,I8-H8)))</f>
        <v/>
      </c>
      <c r="T8" s="14" t="str">
        <f aca="false">IF(OR(H8="",I8=""),"",IF(I8&lt;=H8,"S","N"))</f>
        <v/>
      </c>
      <c r="U8" s="14" t="str">
        <f aca="false">IF(A8="","",IF(AND(N8="S",O8="S",P8="S"),"S","N"))</f>
        <v/>
      </c>
      <c r="V8" s="13"/>
      <c r="W8" s="18"/>
      <c r="X8" s="19" t="str">
        <f aca="false">IF(W8="","",W8-G8)</f>
        <v/>
      </c>
      <c r="Y8" s="14" t="str">
        <f aca="true">IF(A8="","",IF(K8=0,IF(AND(H8&lt;&gt;"",TODAY()&gt;H8),"Vencida","Pendiente"),IF(K8&lt;J8,"Parcial","Completa")))</f>
        <v/>
      </c>
      <c r="Z8" s="16"/>
      <c r="AA8" s="13"/>
      <c r="AB8" s="14" t="str">
        <f aca="false">IF(W8="","Sin factura",IF(ABS(X8)&lt;=0.01,"OK","Revisar"))</f>
        <v>Sin factura</v>
      </c>
      <c r="AC8" s="13"/>
      <c r="AD8" s="14" t="str">
        <f aca="false">IF(A8="","",IF(L8="N","Producto no conforme",IF(M8="N","Falta registro sanitario",IF(OR(Y8="Parcial",Y8="Vencida"),IF(Z8="","Reprogramar recepción","Reprogramada "&amp;TEXT(Z8,"dd/mm")),IF(Y8="Pendiente","En espera",IF(U8="N","Completar documentos",IF(AB8="Revisar","Revisar importe facturado",IF(AC8&lt;&gt;"S","Registrar en Kontrollers","OK"))))))))</f>
        <v/>
      </c>
      <c r="AE8" s="13"/>
    </row>
    <row r="9" customFormat="false" ht="15" hidden="false" customHeight="false" outlineLevel="0" collapsed="false">
      <c r="A9" s="13"/>
      <c r="B9" s="16"/>
      <c r="C9" s="13"/>
      <c r="D9" s="13"/>
      <c r="E9" s="13"/>
      <c r="F9" s="13"/>
      <c r="G9" s="18"/>
      <c r="H9" s="16"/>
      <c r="I9" s="16"/>
      <c r="J9" s="17"/>
      <c r="K9" s="17"/>
      <c r="L9" s="13"/>
      <c r="M9" s="13"/>
      <c r="N9" s="13"/>
      <c r="O9" s="13"/>
      <c r="P9" s="13"/>
      <c r="Q9" s="14" t="str">
        <f aca="false">IF(B9="","",MONTH(B9))</f>
        <v/>
      </c>
      <c r="R9" s="20" t="str">
        <f aca="false">IF(OR(J9="",J9=0),"",MIN(1,K9/J9))</f>
        <v/>
      </c>
      <c r="S9" s="21" t="str">
        <f aca="true">IF(H9="","",IF(I9="",MAX(0,TODAY()-H9),MAX(0,I9-H9)))</f>
        <v/>
      </c>
      <c r="T9" s="14" t="str">
        <f aca="false">IF(OR(H9="",I9=""),"",IF(I9&lt;=H9,"S","N"))</f>
        <v/>
      </c>
      <c r="U9" s="14" t="str">
        <f aca="false">IF(A9="","",IF(AND(N9="S",O9="S",P9="S"),"S","N"))</f>
        <v/>
      </c>
      <c r="V9" s="13"/>
      <c r="W9" s="18"/>
      <c r="X9" s="19" t="str">
        <f aca="false">IF(W9="","",W9-G9)</f>
        <v/>
      </c>
      <c r="Y9" s="14" t="str">
        <f aca="true">IF(A9="","",IF(K9=0,IF(AND(H9&lt;&gt;"",TODAY()&gt;H9),"Vencida","Pendiente"),IF(K9&lt;J9,"Parcial","Completa")))</f>
        <v/>
      </c>
      <c r="Z9" s="16"/>
      <c r="AA9" s="13"/>
      <c r="AB9" s="14" t="str">
        <f aca="false">IF(W9="","Sin factura",IF(ABS(X9)&lt;=0.01,"OK","Revisar"))</f>
        <v>Sin factura</v>
      </c>
      <c r="AC9" s="13"/>
      <c r="AD9" s="14" t="str">
        <f aca="false">IF(A9="","",IF(L9="N","Producto no conforme",IF(M9="N","Falta registro sanitario",IF(OR(Y9="Parcial",Y9="Vencida"),IF(Z9="","Reprogramar recepción","Reprogramada "&amp;TEXT(Z9,"dd/mm")),IF(Y9="Pendiente","En espera",IF(U9="N","Completar documentos",IF(AB9="Revisar","Revisar importe facturado",IF(AC9&lt;&gt;"S","Registrar en Kontrollers","OK"))))))))</f>
        <v/>
      </c>
      <c r="AE9" s="13"/>
    </row>
    <row r="10" customFormat="false" ht="15" hidden="false" customHeight="false" outlineLevel="0" collapsed="false">
      <c r="A10" s="13"/>
      <c r="B10" s="16"/>
      <c r="C10" s="13"/>
      <c r="D10" s="13"/>
      <c r="E10" s="13"/>
      <c r="F10" s="13"/>
      <c r="G10" s="18"/>
      <c r="H10" s="16"/>
      <c r="I10" s="16"/>
      <c r="J10" s="17"/>
      <c r="K10" s="17"/>
      <c r="L10" s="13"/>
      <c r="M10" s="13"/>
      <c r="N10" s="13"/>
      <c r="O10" s="13"/>
      <c r="P10" s="13"/>
      <c r="Q10" s="14" t="str">
        <f aca="false">IF(B10="","",MONTH(B10))</f>
        <v/>
      </c>
      <c r="R10" s="20" t="str">
        <f aca="false">IF(OR(J10="",J10=0),"",MIN(1,K10/J10))</f>
        <v/>
      </c>
      <c r="S10" s="21" t="str">
        <f aca="true">IF(H10="","",IF(I10="",MAX(0,TODAY()-H10),MAX(0,I10-H10)))</f>
        <v/>
      </c>
      <c r="T10" s="14" t="str">
        <f aca="false">IF(OR(H10="",I10=""),"",IF(I10&lt;=H10,"S","N"))</f>
        <v/>
      </c>
      <c r="U10" s="14" t="str">
        <f aca="false">IF(A10="","",IF(AND(N10="S",O10="S",P10="S"),"S","N"))</f>
        <v/>
      </c>
      <c r="V10" s="13"/>
      <c r="W10" s="18"/>
      <c r="X10" s="19" t="str">
        <f aca="false">IF(W10="","",W10-G10)</f>
        <v/>
      </c>
      <c r="Y10" s="14" t="str">
        <f aca="true">IF(A10="","",IF(K10=0,IF(AND(H10&lt;&gt;"",TODAY()&gt;H10),"Vencida","Pendiente"),IF(K10&lt;J10,"Parcial","Completa")))</f>
        <v/>
      </c>
      <c r="Z10" s="16"/>
      <c r="AA10" s="13"/>
      <c r="AB10" s="14" t="str">
        <f aca="false">IF(W10="","Sin factura",IF(ABS(X10)&lt;=0.01,"OK","Revisar"))</f>
        <v>Sin factura</v>
      </c>
      <c r="AC10" s="13"/>
      <c r="AD10" s="14" t="str">
        <f aca="false">IF(A10="","",IF(L10="N","Producto no conforme",IF(M10="N","Falta registro sanitario",IF(OR(Y10="Parcial",Y10="Vencida"),IF(Z10="","Reprogramar recepción","Reprogramada "&amp;TEXT(Z10,"dd/mm")),IF(Y10="Pendiente","En espera",IF(U10="N","Completar documentos",IF(AB10="Revisar","Revisar importe facturado",IF(AC10&lt;&gt;"S","Registrar en Kontrollers","OK"))))))))</f>
        <v/>
      </c>
      <c r="AE10" s="13"/>
    </row>
    <row r="11" customFormat="false" ht="15" hidden="false" customHeight="false" outlineLevel="0" collapsed="false">
      <c r="A11" s="13"/>
      <c r="B11" s="16"/>
      <c r="C11" s="13"/>
      <c r="D11" s="13"/>
      <c r="E11" s="13"/>
      <c r="F11" s="13"/>
      <c r="G11" s="18"/>
      <c r="H11" s="16"/>
      <c r="I11" s="16"/>
      <c r="J11" s="17"/>
      <c r="K11" s="17"/>
      <c r="L11" s="13"/>
      <c r="M11" s="13"/>
      <c r="N11" s="13"/>
      <c r="O11" s="13"/>
      <c r="P11" s="13"/>
      <c r="Q11" s="14" t="str">
        <f aca="false">IF(B11="","",MONTH(B11))</f>
        <v/>
      </c>
      <c r="R11" s="20" t="str">
        <f aca="false">IF(OR(J11="",J11=0),"",MIN(1,K11/J11))</f>
        <v/>
      </c>
      <c r="S11" s="21" t="str">
        <f aca="true">IF(H11="","",IF(I11="",MAX(0,TODAY()-H11),MAX(0,I11-H11)))</f>
        <v/>
      </c>
      <c r="T11" s="14" t="str">
        <f aca="false">IF(OR(H11="",I11=""),"",IF(I11&lt;=H11,"S","N"))</f>
        <v/>
      </c>
      <c r="U11" s="14" t="str">
        <f aca="false">IF(A11="","",IF(AND(N11="S",O11="S",P11="S"),"S","N"))</f>
        <v/>
      </c>
      <c r="V11" s="13"/>
      <c r="W11" s="18"/>
      <c r="X11" s="19" t="str">
        <f aca="false">IF(W11="","",W11-G11)</f>
        <v/>
      </c>
      <c r="Y11" s="14" t="str">
        <f aca="true">IF(A11="","",IF(K11=0,IF(AND(H11&lt;&gt;"",TODAY()&gt;H11),"Vencida","Pendiente"),IF(K11&lt;J11,"Parcial","Completa")))</f>
        <v/>
      </c>
      <c r="Z11" s="16"/>
      <c r="AA11" s="13"/>
      <c r="AB11" s="14" t="str">
        <f aca="false">IF(W11="","Sin factura",IF(ABS(X11)&lt;=0.01,"OK","Revisar"))</f>
        <v>Sin factura</v>
      </c>
      <c r="AC11" s="13"/>
      <c r="AD11" s="14" t="str">
        <f aca="false">IF(A11="","",IF(L11="N","Producto no conforme",IF(M11="N","Falta registro sanitario",IF(OR(Y11="Parcial",Y11="Vencida"),IF(Z11="","Reprogramar recepción","Reprogramada "&amp;TEXT(Z11,"dd/mm")),IF(Y11="Pendiente","En espera",IF(U11="N","Completar documentos",IF(AB11="Revisar","Revisar importe facturado",IF(AC11&lt;&gt;"S","Registrar en Kontrollers","OK"))))))))</f>
        <v/>
      </c>
      <c r="AE11" s="13"/>
    </row>
    <row r="12" customFormat="false" ht="15" hidden="false" customHeight="false" outlineLevel="0" collapsed="false">
      <c r="A12" s="13"/>
      <c r="B12" s="16"/>
      <c r="C12" s="13"/>
      <c r="D12" s="13"/>
      <c r="E12" s="13"/>
      <c r="F12" s="13"/>
      <c r="G12" s="18"/>
      <c r="H12" s="16"/>
      <c r="I12" s="16"/>
      <c r="J12" s="17"/>
      <c r="K12" s="17"/>
      <c r="L12" s="13"/>
      <c r="M12" s="13"/>
      <c r="N12" s="13"/>
      <c r="O12" s="13"/>
      <c r="P12" s="13"/>
      <c r="Q12" s="14" t="str">
        <f aca="false">IF(B12="","",MONTH(B12))</f>
        <v/>
      </c>
      <c r="R12" s="20" t="str">
        <f aca="false">IF(OR(J12="",J12=0),"",MIN(1,K12/J12))</f>
        <v/>
      </c>
      <c r="S12" s="21" t="str">
        <f aca="true">IF(H12="","",IF(I12="",MAX(0,TODAY()-H12),MAX(0,I12-H12)))</f>
        <v/>
      </c>
      <c r="T12" s="14" t="str">
        <f aca="false">IF(OR(H12="",I12=""),"",IF(I12&lt;=H12,"S","N"))</f>
        <v/>
      </c>
      <c r="U12" s="14" t="str">
        <f aca="false">IF(A12="","",IF(AND(N12="S",O12="S",P12="S"),"S","N"))</f>
        <v/>
      </c>
      <c r="V12" s="13"/>
      <c r="W12" s="18"/>
      <c r="X12" s="19" t="str">
        <f aca="false">IF(W12="","",W12-G12)</f>
        <v/>
      </c>
      <c r="Y12" s="14" t="str">
        <f aca="true">IF(A12="","",IF(K12=0,IF(AND(H12&lt;&gt;"",TODAY()&gt;H12),"Vencida","Pendiente"),IF(K12&lt;J12,"Parcial","Completa")))</f>
        <v/>
      </c>
      <c r="Z12" s="16"/>
      <c r="AA12" s="13"/>
      <c r="AB12" s="14" t="str">
        <f aca="false">IF(W12="","Sin factura",IF(ABS(X12)&lt;=0.01,"OK","Revisar"))</f>
        <v>Sin factura</v>
      </c>
      <c r="AC12" s="13"/>
      <c r="AD12" s="14" t="str">
        <f aca="false">IF(A12="","",IF(L12="N","Producto no conforme",IF(M12="N","Falta registro sanitario",IF(OR(Y12="Parcial",Y12="Vencida"),IF(Z12="","Reprogramar recepción","Reprogramada "&amp;TEXT(Z12,"dd/mm")),IF(Y12="Pendiente","En espera",IF(U12="N","Completar documentos",IF(AB12="Revisar","Revisar importe facturado",IF(AC12&lt;&gt;"S","Registrar en Kontrollers","OK"))))))))</f>
        <v/>
      </c>
      <c r="AE12" s="13"/>
    </row>
    <row r="13" customFormat="false" ht="15" hidden="false" customHeight="false" outlineLevel="0" collapsed="false">
      <c r="A13" s="13"/>
      <c r="B13" s="16"/>
      <c r="C13" s="13"/>
      <c r="D13" s="13"/>
      <c r="E13" s="13"/>
      <c r="F13" s="13"/>
      <c r="G13" s="18"/>
      <c r="H13" s="16"/>
      <c r="I13" s="16"/>
      <c r="J13" s="17"/>
      <c r="K13" s="17"/>
      <c r="L13" s="13"/>
      <c r="M13" s="13"/>
      <c r="N13" s="13"/>
      <c r="O13" s="13"/>
      <c r="P13" s="13"/>
      <c r="Q13" s="14" t="str">
        <f aca="false">IF(B13="","",MONTH(B13))</f>
        <v/>
      </c>
      <c r="R13" s="20" t="str">
        <f aca="false">IF(OR(J13="",J13=0),"",MIN(1,K13/J13))</f>
        <v/>
      </c>
      <c r="S13" s="21" t="str">
        <f aca="true">IF(H13="","",IF(I13="",MAX(0,TODAY()-H13),MAX(0,I13-H13)))</f>
        <v/>
      </c>
      <c r="T13" s="14" t="str">
        <f aca="false">IF(OR(H13="",I13=""),"",IF(I13&lt;=H13,"S","N"))</f>
        <v/>
      </c>
      <c r="U13" s="14" t="str">
        <f aca="false">IF(A13="","",IF(AND(N13="S",O13="S",P13="S"),"S","N"))</f>
        <v/>
      </c>
      <c r="V13" s="13"/>
      <c r="W13" s="18"/>
      <c r="X13" s="19" t="str">
        <f aca="false">IF(W13="","",W13-G13)</f>
        <v/>
      </c>
      <c r="Y13" s="14" t="str">
        <f aca="true">IF(A13="","",IF(K13=0,IF(AND(H13&lt;&gt;"",TODAY()&gt;H13),"Vencida","Pendiente"),IF(K13&lt;J13,"Parcial","Completa")))</f>
        <v/>
      </c>
      <c r="Z13" s="16"/>
      <c r="AA13" s="13"/>
      <c r="AB13" s="14" t="str">
        <f aca="false">IF(W13="","Sin factura",IF(ABS(X13)&lt;=0.01,"OK","Revisar"))</f>
        <v>Sin factura</v>
      </c>
      <c r="AC13" s="13"/>
      <c r="AD13" s="14" t="str">
        <f aca="false">IF(A13="","",IF(L13="N","Producto no conforme",IF(M13="N","Falta registro sanitario",IF(OR(Y13="Parcial",Y13="Vencida"),IF(Z13="","Reprogramar recepción","Reprogramada "&amp;TEXT(Z13,"dd/mm")),IF(Y13="Pendiente","En espera",IF(U13="N","Completar documentos",IF(AB13="Revisar","Revisar importe facturado",IF(AC13&lt;&gt;"S","Registrar en Kontrollers","OK"))))))))</f>
        <v/>
      </c>
      <c r="AE13" s="13"/>
    </row>
    <row r="14" customFormat="false" ht="15" hidden="false" customHeight="false" outlineLevel="0" collapsed="false">
      <c r="A14" s="13"/>
      <c r="B14" s="16"/>
      <c r="C14" s="13"/>
      <c r="D14" s="13"/>
      <c r="E14" s="13"/>
      <c r="F14" s="13"/>
      <c r="G14" s="18"/>
      <c r="H14" s="16"/>
      <c r="I14" s="16"/>
      <c r="J14" s="17"/>
      <c r="K14" s="17"/>
      <c r="L14" s="13"/>
      <c r="M14" s="13"/>
      <c r="N14" s="13"/>
      <c r="O14" s="13"/>
      <c r="P14" s="13"/>
      <c r="Q14" s="14" t="str">
        <f aca="false">IF(B14="","",MONTH(B14))</f>
        <v/>
      </c>
      <c r="R14" s="20" t="str">
        <f aca="false">IF(OR(J14="",J14=0),"",MIN(1,K14/J14))</f>
        <v/>
      </c>
      <c r="S14" s="21" t="str">
        <f aca="true">IF(H14="","",IF(I14="",MAX(0,TODAY()-H14),MAX(0,I14-H14)))</f>
        <v/>
      </c>
      <c r="T14" s="14" t="str">
        <f aca="false">IF(OR(H14="",I14=""),"",IF(I14&lt;=H14,"S","N"))</f>
        <v/>
      </c>
      <c r="U14" s="14" t="str">
        <f aca="false">IF(A14="","",IF(AND(N14="S",O14="S",P14="S"),"S","N"))</f>
        <v/>
      </c>
      <c r="V14" s="13"/>
      <c r="W14" s="18"/>
      <c r="X14" s="19" t="str">
        <f aca="false">IF(W14="","",W14-G14)</f>
        <v/>
      </c>
      <c r="Y14" s="14" t="str">
        <f aca="true">IF(A14="","",IF(K14=0,IF(AND(H14&lt;&gt;"",TODAY()&gt;H14),"Vencida","Pendiente"),IF(K14&lt;J14,"Parcial","Completa")))</f>
        <v/>
      </c>
      <c r="Z14" s="16"/>
      <c r="AA14" s="13"/>
      <c r="AB14" s="14" t="str">
        <f aca="false">IF(W14="","Sin factura",IF(ABS(X14)&lt;=0.01,"OK","Revisar"))</f>
        <v>Sin factura</v>
      </c>
      <c r="AC14" s="13"/>
      <c r="AD14" s="14" t="str">
        <f aca="false">IF(A14="","",IF(L14="N","Producto no conforme",IF(M14="N","Falta registro sanitario",IF(OR(Y14="Parcial",Y14="Vencida"),IF(Z14="","Reprogramar recepción","Reprogramada "&amp;TEXT(Z14,"dd/mm")),IF(Y14="Pendiente","En espera",IF(U14="N","Completar documentos",IF(AB14="Revisar","Revisar importe facturado",IF(AC14&lt;&gt;"S","Registrar en Kontrollers","OK"))))))))</f>
        <v/>
      </c>
      <c r="AE14" s="13"/>
    </row>
    <row r="15" customFormat="false" ht="15" hidden="false" customHeight="false" outlineLevel="0" collapsed="false">
      <c r="A15" s="13"/>
      <c r="B15" s="16"/>
      <c r="C15" s="13"/>
      <c r="D15" s="13"/>
      <c r="E15" s="13"/>
      <c r="F15" s="13"/>
      <c r="G15" s="18"/>
      <c r="H15" s="16"/>
      <c r="I15" s="16"/>
      <c r="J15" s="17"/>
      <c r="K15" s="17"/>
      <c r="L15" s="13"/>
      <c r="M15" s="13"/>
      <c r="N15" s="13"/>
      <c r="O15" s="13"/>
      <c r="P15" s="13"/>
      <c r="Q15" s="14" t="str">
        <f aca="false">IF(B15="","",MONTH(B15))</f>
        <v/>
      </c>
      <c r="R15" s="20" t="str">
        <f aca="false">IF(OR(J15="",J15=0),"",MIN(1,K15/J15))</f>
        <v/>
      </c>
      <c r="S15" s="21" t="str">
        <f aca="true">IF(H15="","",IF(I15="",MAX(0,TODAY()-H15),MAX(0,I15-H15)))</f>
        <v/>
      </c>
      <c r="T15" s="14" t="str">
        <f aca="false">IF(OR(H15="",I15=""),"",IF(I15&lt;=H15,"S","N"))</f>
        <v/>
      </c>
      <c r="U15" s="14" t="str">
        <f aca="false">IF(A15="","",IF(AND(N15="S",O15="S",P15="S"),"S","N"))</f>
        <v/>
      </c>
      <c r="V15" s="13"/>
      <c r="W15" s="18"/>
      <c r="X15" s="19" t="str">
        <f aca="false">IF(W15="","",W15-G15)</f>
        <v/>
      </c>
      <c r="Y15" s="14" t="str">
        <f aca="true">IF(A15="","",IF(K15=0,IF(AND(H15&lt;&gt;"",TODAY()&gt;H15),"Vencida","Pendiente"),IF(K15&lt;J15,"Parcial","Completa")))</f>
        <v/>
      </c>
      <c r="Z15" s="16"/>
      <c r="AA15" s="13"/>
      <c r="AB15" s="14" t="str">
        <f aca="false">IF(W15="","Sin factura",IF(ABS(X15)&lt;=0.01,"OK","Revisar"))</f>
        <v>Sin factura</v>
      </c>
      <c r="AC15" s="13"/>
      <c r="AD15" s="14" t="str">
        <f aca="false">IF(A15="","",IF(L15="N","Producto no conforme",IF(M15="N","Falta registro sanitario",IF(OR(Y15="Parcial",Y15="Vencida"),IF(Z15="","Reprogramar recepción","Reprogramada "&amp;TEXT(Z15,"dd/mm")),IF(Y15="Pendiente","En espera",IF(U15="N","Completar documentos",IF(AB15="Revisar","Revisar importe facturado",IF(AC15&lt;&gt;"S","Registrar en Kontrollers","OK"))))))))</f>
        <v/>
      </c>
      <c r="AE15" s="13"/>
    </row>
    <row r="16" customFormat="false" ht="15" hidden="false" customHeight="false" outlineLevel="0" collapsed="false">
      <c r="A16" s="13"/>
      <c r="B16" s="16"/>
      <c r="C16" s="13"/>
      <c r="D16" s="13"/>
      <c r="E16" s="13"/>
      <c r="F16" s="13"/>
      <c r="G16" s="18"/>
      <c r="H16" s="16"/>
      <c r="I16" s="16"/>
      <c r="J16" s="17"/>
      <c r="K16" s="17"/>
      <c r="L16" s="13"/>
      <c r="M16" s="13"/>
      <c r="N16" s="13"/>
      <c r="O16" s="13"/>
      <c r="P16" s="13"/>
      <c r="Q16" s="14" t="str">
        <f aca="false">IF(B16="","",MONTH(B16))</f>
        <v/>
      </c>
      <c r="R16" s="20" t="str">
        <f aca="false">IF(OR(J16="",J16=0),"",MIN(1,K16/J16))</f>
        <v/>
      </c>
      <c r="S16" s="21" t="str">
        <f aca="true">IF(H16="","",IF(I16="",MAX(0,TODAY()-H16),MAX(0,I16-H16)))</f>
        <v/>
      </c>
      <c r="T16" s="14" t="str">
        <f aca="false">IF(OR(H16="",I16=""),"",IF(I16&lt;=H16,"S","N"))</f>
        <v/>
      </c>
      <c r="U16" s="14" t="str">
        <f aca="false">IF(A16="","",IF(AND(N16="S",O16="S",P16="S"),"S","N"))</f>
        <v/>
      </c>
      <c r="V16" s="13"/>
      <c r="W16" s="18"/>
      <c r="X16" s="19" t="str">
        <f aca="false">IF(W16="","",W16-G16)</f>
        <v/>
      </c>
      <c r="Y16" s="14" t="str">
        <f aca="true">IF(A16="","",IF(K16=0,IF(AND(H16&lt;&gt;"",TODAY()&gt;H16),"Vencida","Pendiente"),IF(K16&lt;J16,"Parcial","Completa")))</f>
        <v/>
      </c>
      <c r="Z16" s="16"/>
      <c r="AA16" s="13"/>
      <c r="AB16" s="14" t="str">
        <f aca="false">IF(W16="","Sin factura",IF(ABS(X16)&lt;=0.01,"OK","Revisar"))</f>
        <v>Sin factura</v>
      </c>
      <c r="AC16" s="13"/>
      <c r="AD16" s="14" t="str">
        <f aca="false">IF(A16="","",IF(L16="N","Producto no conforme",IF(M16="N","Falta registro sanitario",IF(OR(Y16="Parcial",Y16="Vencida"),IF(Z16="","Reprogramar recepción","Reprogramada "&amp;TEXT(Z16,"dd/mm")),IF(Y16="Pendiente","En espera",IF(U16="N","Completar documentos",IF(AB16="Revisar","Revisar importe facturado",IF(AC16&lt;&gt;"S","Registrar en Kontrollers","OK"))))))))</f>
        <v/>
      </c>
      <c r="AE16" s="13"/>
    </row>
    <row r="17" customFormat="false" ht="15" hidden="false" customHeight="false" outlineLevel="0" collapsed="false">
      <c r="A17" s="13"/>
      <c r="B17" s="16"/>
      <c r="C17" s="13"/>
      <c r="D17" s="13"/>
      <c r="E17" s="13"/>
      <c r="F17" s="13"/>
      <c r="G17" s="18"/>
      <c r="H17" s="16"/>
      <c r="I17" s="16"/>
      <c r="J17" s="17"/>
      <c r="K17" s="17"/>
      <c r="L17" s="13"/>
      <c r="M17" s="13"/>
      <c r="N17" s="13"/>
      <c r="O17" s="13"/>
      <c r="P17" s="13"/>
      <c r="Q17" s="14" t="str">
        <f aca="false">IF(B17="","",MONTH(B17))</f>
        <v/>
      </c>
      <c r="R17" s="20" t="str">
        <f aca="false">IF(OR(J17="",J17=0),"",MIN(1,K17/J17))</f>
        <v/>
      </c>
      <c r="S17" s="21" t="str">
        <f aca="true">IF(H17="","",IF(I17="",MAX(0,TODAY()-H17),MAX(0,I17-H17)))</f>
        <v/>
      </c>
      <c r="T17" s="14" t="str">
        <f aca="false">IF(OR(H17="",I17=""),"",IF(I17&lt;=H17,"S","N"))</f>
        <v/>
      </c>
      <c r="U17" s="14" t="str">
        <f aca="false">IF(A17="","",IF(AND(N17="S",O17="S",P17="S"),"S","N"))</f>
        <v/>
      </c>
      <c r="V17" s="13"/>
      <c r="W17" s="18"/>
      <c r="X17" s="19" t="str">
        <f aca="false">IF(W17="","",W17-G17)</f>
        <v/>
      </c>
      <c r="Y17" s="14" t="str">
        <f aca="true">IF(A17="","",IF(K17=0,IF(AND(H17&lt;&gt;"",TODAY()&gt;H17),"Vencida","Pendiente"),IF(K17&lt;J17,"Parcial","Completa")))</f>
        <v/>
      </c>
      <c r="Z17" s="16"/>
      <c r="AA17" s="13"/>
      <c r="AB17" s="14" t="str">
        <f aca="false">IF(W17="","Sin factura",IF(ABS(X17)&lt;=0.01,"OK","Revisar"))</f>
        <v>Sin factura</v>
      </c>
      <c r="AC17" s="13"/>
      <c r="AD17" s="14" t="str">
        <f aca="false">IF(A17="","",IF(L17="N","Producto no conforme",IF(M17="N","Falta registro sanitario",IF(OR(Y17="Parcial",Y17="Vencida"),IF(Z17="","Reprogramar recepción","Reprogramada "&amp;TEXT(Z17,"dd/mm")),IF(Y17="Pendiente","En espera",IF(U17="N","Completar documentos",IF(AB17="Revisar","Revisar importe facturado",IF(AC17&lt;&gt;"S","Registrar en Kontrollers","OK"))))))))</f>
        <v/>
      </c>
      <c r="AE17" s="13"/>
    </row>
    <row r="18" customFormat="false" ht="15" hidden="false" customHeight="false" outlineLevel="0" collapsed="false">
      <c r="A18" s="13"/>
      <c r="B18" s="16"/>
      <c r="C18" s="13"/>
      <c r="D18" s="13"/>
      <c r="E18" s="13"/>
      <c r="F18" s="13"/>
      <c r="G18" s="18"/>
      <c r="H18" s="16"/>
      <c r="I18" s="16"/>
      <c r="J18" s="17"/>
      <c r="K18" s="17"/>
      <c r="L18" s="13"/>
      <c r="M18" s="13"/>
      <c r="N18" s="13"/>
      <c r="O18" s="13"/>
      <c r="P18" s="13"/>
      <c r="Q18" s="14" t="str">
        <f aca="false">IF(B18="","",MONTH(B18))</f>
        <v/>
      </c>
      <c r="R18" s="20" t="str">
        <f aca="false">IF(OR(J18="",J18=0),"",MIN(1,K18/J18))</f>
        <v/>
      </c>
      <c r="S18" s="21" t="str">
        <f aca="true">IF(H18="","",IF(I18="",MAX(0,TODAY()-H18),MAX(0,I18-H18)))</f>
        <v/>
      </c>
      <c r="T18" s="14" t="str">
        <f aca="false">IF(OR(H18="",I18=""),"",IF(I18&lt;=H18,"S","N"))</f>
        <v/>
      </c>
      <c r="U18" s="14" t="str">
        <f aca="false">IF(A18="","",IF(AND(N18="S",O18="S",P18="S"),"S","N"))</f>
        <v/>
      </c>
      <c r="V18" s="13"/>
      <c r="W18" s="18"/>
      <c r="X18" s="19" t="str">
        <f aca="false">IF(W18="","",W18-G18)</f>
        <v/>
      </c>
      <c r="Y18" s="14" t="str">
        <f aca="true">IF(A18="","",IF(K18=0,IF(AND(H18&lt;&gt;"",TODAY()&gt;H18),"Vencida","Pendiente"),IF(K18&lt;J18,"Parcial","Completa")))</f>
        <v/>
      </c>
      <c r="Z18" s="16"/>
      <c r="AA18" s="13"/>
      <c r="AB18" s="14" t="str">
        <f aca="false">IF(W18="","Sin factura",IF(ABS(X18)&lt;=0.01,"OK","Revisar"))</f>
        <v>Sin factura</v>
      </c>
      <c r="AC18" s="13"/>
      <c r="AD18" s="14" t="str">
        <f aca="false">IF(A18="","",IF(L18="N","Producto no conforme",IF(M18="N","Falta registro sanitario",IF(OR(Y18="Parcial",Y18="Vencida"),IF(Z18="","Reprogramar recepción","Reprogramada "&amp;TEXT(Z18,"dd/mm")),IF(Y18="Pendiente","En espera",IF(U18="N","Completar documentos",IF(AB18="Revisar","Revisar importe facturado",IF(AC18&lt;&gt;"S","Registrar en Kontrollers","OK"))))))))</f>
        <v/>
      </c>
      <c r="AE18" s="13"/>
    </row>
    <row r="19" customFormat="false" ht="15" hidden="false" customHeight="false" outlineLevel="0" collapsed="false">
      <c r="A19" s="13"/>
      <c r="B19" s="16"/>
      <c r="C19" s="13"/>
      <c r="D19" s="13"/>
      <c r="E19" s="13"/>
      <c r="F19" s="13"/>
      <c r="G19" s="18"/>
      <c r="H19" s="16"/>
      <c r="I19" s="16"/>
      <c r="J19" s="17"/>
      <c r="K19" s="17"/>
      <c r="L19" s="13"/>
      <c r="M19" s="13"/>
      <c r="N19" s="13"/>
      <c r="O19" s="13"/>
      <c r="P19" s="13"/>
      <c r="Q19" s="14" t="str">
        <f aca="false">IF(B19="","",MONTH(B19))</f>
        <v/>
      </c>
      <c r="R19" s="20" t="str">
        <f aca="false">IF(OR(J19="",J19=0),"",MIN(1,K19/J19))</f>
        <v/>
      </c>
      <c r="S19" s="21" t="str">
        <f aca="true">IF(H19="","",IF(I19="",MAX(0,TODAY()-H19),MAX(0,I19-H19)))</f>
        <v/>
      </c>
      <c r="T19" s="14" t="str">
        <f aca="false">IF(OR(H19="",I19=""),"",IF(I19&lt;=H19,"S","N"))</f>
        <v/>
      </c>
      <c r="U19" s="14" t="str">
        <f aca="false">IF(A19="","",IF(AND(N19="S",O19="S",P19="S"),"S","N"))</f>
        <v/>
      </c>
      <c r="V19" s="13"/>
      <c r="W19" s="18"/>
      <c r="X19" s="19" t="str">
        <f aca="false">IF(W19="","",W19-G19)</f>
        <v/>
      </c>
      <c r="Y19" s="14" t="str">
        <f aca="true">IF(A19="","",IF(K19=0,IF(AND(H19&lt;&gt;"",TODAY()&gt;H19),"Vencida","Pendiente"),IF(K19&lt;J19,"Parcial","Completa")))</f>
        <v/>
      </c>
      <c r="Z19" s="16"/>
      <c r="AA19" s="13"/>
      <c r="AB19" s="14" t="str">
        <f aca="false">IF(W19="","Sin factura",IF(ABS(X19)&lt;=0.01,"OK","Revisar"))</f>
        <v>Sin factura</v>
      </c>
      <c r="AC19" s="13"/>
      <c r="AD19" s="14" t="str">
        <f aca="false">IF(A19="","",IF(L19="N","Producto no conforme",IF(M19="N","Falta registro sanitario",IF(OR(Y19="Parcial",Y19="Vencida"),IF(Z19="","Reprogramar recepción","Reprogramada "&amp;TEXT(Z19,"dd/mm")),IF(Y19="Pendiente","En espera",IF(U19="N","Completar documentos",IF(AB19="Revisar","Revisar importe facturado",IF(AC19&lt;&gt;"S","Registrar en Kontrollers","OK"))))))))</f>
        <v/>
      </c>
      <c r="AE19" s="13"/>
    </row>
    <row r="20" customFormat="false" ht="15" hidden="false" customHeight="false" outlineLevel="0" collapsed="false">
      <c r="A20" s="13"/>
      <c r="B20" s="16"/>
      <c r="C20" s="13"/>
      <c r="D20" s="13"/>
      <c r="E20" s="13"/>
      <c r="F20" s="13"/>
      <c r="G20" s="18"/>
      <c r="H20" s="16"/>
      <c r="I20" s="16"/>
      <c r="J20" s="17"/>
      <c r="K20" s="17"/>
      <c r="L20" s="13"/>
      <c r="M20" s="13"/>
      <c r="N20" s="13"/>
      <c r="O20" s="13"/>
      <c r="P20" s="13"/>
      <c r="Q20" s="14" t="str">
        <f aca="false">IF(B20="","",MONTH(B20))</f>
        <v/>
      </c>
      <c r="R20" s="20" t="str">
        <f aca="false">IF(OR(J20="",J20=0),"",MIN(1,K20/J20))</f>
        <v/>
      </c>
      <c r="S20" s="21" t="str">
        <f aca="true">IF(H20="","",IF(I20="",MAX(0,TODAY()-H20),MAX(0,I20-H20)))</f>
        <v/>
      </c>
      <c r="T20" s="14" t="str">
        <f aca="false">IF(OR(H20="",I20=""),"",IF(I20&lt;=H20,"S","N"))</f>
        <v/>
      </c>
      <c r="U20" s="14" t="str">
        <f aca="false">IF(A20="","",IF(AND(N20="S",O20="S",P20="S"),"S","N"))</f>
        <v/>
      </c>
      <c r="V20" s="13"/>
      <c r="W20" s="18"/>
      <c r="X20" s="19" t="str">
        <f aca="false">IF(W20="","",W20-G20)</f>
        <v/>
      </c>
      <c r="Y20" s="14" t="str">
        <f aca="true">IF(A20="","",IF(K20=0,IF(AND(H20&lt;&gt;"",TODAY()&gt;H20),"Vencida","Pendiente"),IF(K20&lt;J20,"Parcial","Completa")))</f>
        <v/>
      </c>
      <c r="Z20" s="16"/>
      <c r="AA20" s="13"/>
      <c r="AB20" s="14" t="str">
        <f aca="false">IF(W20="","Sin factura",IF(ABS(X20)&lt;=0.01,"OK","Revisar"))</f>
        <v>Sin factura</v>
      </c>
      <c r="AC20" s="13"/>
      <c r="AD20" s="14" t="str">
        <f aca="false">IF(A20="","",IF(L20="N","Producto no conforme",IF(M20="N","Falta registro sanitario",IF(OR(Y20="Parcial",Y20="Vencida"),IF(Z20="","Reprogramar recepción","Reprogramada "&amp;TEXT(Z20,"dd/mm")),IF(Y20="Pendiente","En espera",IF(U20="N","Completar documentos",IF(AB20="Revisar","Revisar importe facturado",IF(AC20&lt;&gt;"S","Registrar en Kontrollers","OK"))))))))</f>
        <v/>
      </c>
      <c r="AE20" s="13"/>
    </row>
    <row r="21" customFormat="false" ht="15" hidden="false" customHeight="false" outlineLevel="0" collapsed="false">
      <c r="A21" s="13"/>
      <c r="B21" s="16"/>
      <c r="C21" s="13"/>
      <c r="D21" s="13"/>
      <c r="E21" s="13"/>
      <c r="F21" s="13"/>
      <c r="G21" s="18"/>
      <c r="H21" s="16"/>
      <c r="I21" s="16"/>
      <c r="J21" s="17"/>
      <c r="K21" s="17"/>
      <c r="L21" s="13"/>
      <c r="M21" s="13"/>
      <c r="N21" s="13"/>
      <c r="O21" s="13"/>
      <c r="P21" s="13"/>
      <c r="Q21" s="14" t="str">
        <f aca="false">IF(B21="","",MONTH(B21))</f>
        <v/>
      </c>
      <c r="R21" s="20" t="str">
        <f aca="false">IF(OR(J21="",J21=0),"",MIN(1,K21/J21))</f>
        <v/>
      </c>
      <c r="S21" s="21" t="str">
        <f aca="true">IF(H21="","",IF(I21="",MAX(0,TODAY()-H21),MAX(0,I21-H21)))</f>
        <v/>
      </c>
      <c r="T21" s="14" t="str">
        <f aca="false">IF(OR(H21="",I21=""),"",IF(I21&lt;=H21,"S","N"))</f>
        <v/>
      </c>
      <c r="U21" s="14" t="str">
        <f aca="false">IF(A21="","",IF(AND(N21="S",O21="S",P21="S"),"S","N"))</f>
        <v/>
      </c>
      <c r="V21" s="13"/>
      <c r="W21" s="18"/>
      <c r="X21" s="19" t="str">
        <f aca="false">IF(W21="","",W21-G21)</f>
        <v/>
      </c>
      <c r="Y21" s="14" t="str">
        <f aca="true">IF(A21="","",IF(K21=0,IF(AND(H21&lt;&gt;"",TODAY()&gt;H21),"Vencida","Pendiente"),IF(K21&lt;J21,"Parcial","Completa")))</f>
        <v/>
      </c>
      <c r="Z21" s="16"/>
      <c r="AA21" s="13"/>
      <c r="AB21" s="14" t="str">
        <f aca="false">IF(W21="","Sin factura",IF(ABS(X21)&lt;=0.01,"OK","Revisar"))</f>
        <v>Sin factura</v>
      </c>
      <c r="AC21" s="13"/>
      <c r="AD21" s="14" t="str">
        <f aca="false">IF(A21="","",IF(L21="N","Producto no conforme",IF(M21="N","Falta registro sanitario",IF(OR(Y21="Parcial",Y21="Vencida"),IF(Z21="","Reprogramar recepción","Reprogramada "&amp;TEXT(Z21,"dd/mm")),IF(Y21="Pendiente","En espera",IF(U21="N","Completar documentos",IF(AB21="Revisar","Revisar importe facturado",IF(AC21&lt;&gt;"S","Registrar en Kontrollers","OK"))))))))</f>
        <v/>
      </c>
      <c r="AE21" s="13"/>
    </row>
    <row r="22" customFormat="false" ht="15" hidden="false" customHeight="false" outlineLevel="0" collapsed="false">
      <c r="A22" s="13"/>
      <c r="B22" s="16"/>
      <c r="C22" s="13"/>
      <c r="D22" s="13"/>
      <c r="E22" s="13"/>
      <c r="F22" s="13"/>
      <c r="G22" s="18"/>
      <c r="H22" s="16"/>
      <c r="I22" s="16"/>
      <c r="J22" s="17"/>
      <c r="K22" s="17"/>
      <c r="L22" s="13"/>
      <c r="M22" s="13"/>
      <c r="N22" s="13"/>
      <c r="O22" s="13"/>
      <c r="P22" s="13"/>
      <c r="Q22" s="14" t="str">
        <f aca="false">IF(B22="","",MONTH(B22))</f>
        <v/>
      </c>
      <c r="R22" s="20" t="str">
        <f aca="false">IF(OR(J22="",J22=0),"",MIN(1,K22/J22))</f>
        <v/>
      </c>
      <c r="S22" s="21" t="str">
        <f aca="true">IF(H22="","",IF(I22="",MAX(0,TODAY()-H22),MAX(0,I22-H22)))</f>
        <v/>
      </c>
      <c r="T22" s="14" t="str">
        <f aca="false">IF(OR(H22="",I22=""),"",IF(I22&lt;=H22,"S","N"))</f>
        <v/>
      </c>
      <c r="U22" s="14" t="str">
        <f aca="false">IF(A22="","",IF(AND(N22="S",O22="S",P22="S"),"S","N"))</f>
        <v/>
      </c>
      <c r="V22" s="13"/>
      <c r="W22" s="18"/>
      <c r="X22" s="19" t="str">
        <f aca="false">IF(W22="","",W22-G22)</f>
        <v/>
      </c>
      <c r="Y22" s="14" t="str">
        <f aca="true">IF(A22="","",IF(K22=0,IF(AND(H22&lt;&gt;"",TODAY()&gt;H22),"Vencida","Pendiente"),IF(K22&lt;J22,"Parcial","Completa")))</f>
        <v/>
      </c>
      <c r="Z22" s="16"/>
      <c r="AA22" s="13"/>
      <c r="AB22" s="14" t="str">
        <f aca="false">IF(W22="","Sin factura",IF(ABS(X22)&lt;=0.01,"OK","Revisar"))</f>
        <v>Sin factura</v>
      </c>
      <c r="AC22" s="13"/>
      <c r="AD22" s="14" t="str">
        <f aca="false">IF(A22="","",IF(L22="N","Producto no conforme",IF(M22="N","Falta registro sanitario",IF(OR(Y22="Parcial",Y22="Vencida"),IF(Z22="","Reprogramar recepción","Reprogramada "&amp;TEXT(Z22,"dd/mm")),IF(Y22="Pendiente","En espera",IF(U22="N","Completar documentos",IF(AB22="Revisar","Revisar importe facturado",IF(AC22&lt;&gt;"S","Registrar en Kontrollers","OK"))))))))</f>
        <v/>
      </c>
      <c r="AE22" s="13"/>
    </row>
    <row r="23" customFormat="false" ht="15" hidden="false" customHeight="false" outlineLevel="0" collapsed="false">
      <c r="A23" s="13"/>
      <c r="B23" s="16"/>
      <c r="C23" s="13"/>
      <c r="D23" s="13"/>
      <c r="E23" s="13"/>
      <c r="F23" s="13"/>
      <c r="G23" s="18"/>
      <c r="H23" s="16"/>
      <c r="I23" s="16"/>
      <c r="J23" s="17"/>
      <c r="K23" s="17"/>
      <c r="L23" s="13"/>
      <c r="M23" s="13"/>
      <c r="N23" s="13"/>
      <c r="O23" s="13"/>
      <c r="P23" s="13"/>
      <c r="Q23" s="14" t="str">
        <f aca="false">IF(B23="","",MONTH(B23))</f>
        <v/>
      </c>
      <c r="R23" s="20" t="str">
        <f aca="false">IF(OR(J23="",J23=0),"",MIN(1,K23/J23))</f>
        <v/>
      </c>
      <c r="S23" s="21" t="str">
        <f aca="true">IF(H23="","",IF(I23="",MAX(0,TODAY()-H23),MAX(0,I23-H23)))</f>
        <v/>
      </c>
      <c r="T23" s="14" t="str">
        <f aca="false">IF(OR(H23="",I23=""),"",IF(I23&lt;=H23,"S","N"))</f>
        <v/>
      </c>
      <c r="U23" s="14" t="str">
        <f aca="false">IF(A23="","",IF(AND(N23="S",O23="S",P23="S"),"S","N"))</f>
        <v/>
      </c>
      <c r="V23" s="13"/>
      <c r="W23" s="18"/>
      <c r="X23" s="19" t="str">
        <f aca="false">IF(W23="","",W23-G23)</f>
        <v/>
      </c>
      <c r="Y23" s="14" t="str">
        <f aca="true">IF(A23="","",IF(K23=0,IF(AND(H23&lt;&gt;"",TODAY()&gt;H23),"Vencida","Pendiente"),IF(K23&lt;J23,"Parcial","Completa")))</f>
        <v/>
      </c>
      <c r="Z23" s="16"/>
      <c r="AA23" s="13"/>
      <c r="AB23" s="14" t="str">
        <f aca="false">IF(W23="","Sin factura",IF(ABS(X23)&lt;=0.01,"OK","Revisar"))</f>
        <v>Sin factura</v>
      </c>
      <c r="AC23" s="13"/>
      <c r="AD23" s="14" t="str">
        <f aca="false">IF(A23="","",IF(L23="N","Producto no conforme",IF(M23="N","Falta registro sanitario",IF(OR(Y23="Parcial",Y23="Vencida"),IF(Z23="","Reprogramar recepción","Reprogramada "&amp;TEXT(Z23,"dd/mm")),IF(Y23="Pendiente","En espera",IF(U23="N","Completar documentos",IF(AB23="Revisar","Revisar importe facturado",IF(AC23&lt;&gt;"S","Registrar en Kontrollers","OK"))))))))</f>
        <v/>
      </c>
      <c r="AE23" s="13"/>
    </row>
    <row r="24" customFormat="false" ht="15" hidden="false" customHeight="false" outlineLevel="0" collapsed="false">
      <c r="A24" s="13"/>
      <c r="B24" s="16"/>
      <c r="C24" s="13"/>
      <c r="D24" s="13"/>
      <c r="E24" s="13"/>
      <c r="F24" s="13"/>
      <c r="G24" s="18"/>
      <c r="H24" s="16"/>
      <c r="I24" s="16"/>
      <c r="J24" s="17"/>
      <c r="K24" s="17"/>
      <c r="L24" s="13"/>
      <c r="M24" s="13"/>
      <c r="N24" s="13"/>
      <c r="O24" s="13"/>
      <c r="P24" s="13"/>
      <c r="Q24" s="14" t="str">
        <f aca="false">IF(B24="","",MONTH(B24))</f>
        <v/>
      </c>
      <c r="R24" s="20" t="str">
        <f aca="false">IF(OR(J24="",J24=0),"",MIN(1,K24/J24))</f>
        <v/>
      </c>
      <c r="S24" s="21" t="str">
        <f aca="true">IF(H24="","",IF(I24="",MAX(0,TODAY()-H24),MAX(0,I24-H24)))</f>
        <v/>
      </c>
      <c r="T24" s="14" t="str">
        <f aca="false">IF(OR(H24="",I24=""),"",IF(I24&lt;=H24,"S","N"))</f>
        <v/>
      </c>
      <c r="U24" s="14" t="str">
        <f aca="false">IF(A24="","",IF(AND(N24="S",O24="S",P24="S"),"S","N"))</f>
        <v/>
      </c>
      <c r="V24" s="13"/>
      <c r="W24" s="18"/>
      <c r="X24" s="19" t="str">
        <f aca="false">IF(W24="","",W24-G24)</f>
        <v/>
      </c>
      <c r="Y24" s="14" t="str">
        <f aca="true">IF(A24="","",IF(K24=0,IF(AND(H24&lt;&gt;"",TODAY()&gt;H24),"Vencida","Pendiente"),IF(K24&lt;J24,"Parcial","Completa")))</f>
        <v/>
      </c>
      <c r="Z24" s="16"/>
      <c r="AA24" s="13"/>
      <c r="AB24" s="14" t="str">
        <f aca="false">IF(W24="","Sin factura",IF(ABS(X24)&lt;=0.01,"OK","Revisar"))</f>
        <v>Sin factura</v>
      </c>
      <c r="AC24" s="13"/>
      <c r="AD24" s="14" t="str">
        <f aca="false">IF(A24="","",IF(L24="N","Producto no conforme",IF(M24="N","Falta registro sanitario",IF(OR(Y24="Parcial",Y24="Vencida"),IF(Z24="","Reprogramar recepción","Reprogramada "&amp;TEXT(Z24,"dd/mm")),IF(Y24="Pendiente","En espera",IF(U24="N","Completar documentos",IF(AB24="Revisar","Revisar importe facturado",IF(AC24&lt;&gt;"S","Registrar en Kontrollers","OK"))))))))</f>
        <v/>
      </c>
      <c r="AE24" s="13"/>
    </row>
    <row r="25" customFormat="false" ht="15" hidden="false" customHeight="false" outlineLevel="0" collapsed="false">
      <c r="A25" s="13"/>
      <c r="B25" s="16"/>
      <c r="C25" s="13"/>
      <c r="D25" s="13"/>
      <c r="E25" s="13"/>
      <c r="F25" s="13"/>
      <c r="G25" s="18"/>
      <c r="H25" s="16"/>
      <c r="I25" s="16"/>
      <c r="J25" s="17"/>
      <c r="K25" s="17"/>
      <c r="L25" s="13"/>
      <c r="M25" s="13"/>
      <c r="N25" s="13"/>
      <c r="O25" s="13"/>
      <c r="P25" s="13"/>
      <c r="Q25" s="14" t="str">
        <f aca="false">IF(B25="","",MONTH(B25))</f>
        <v/>
      </c>
      <c r="R25" s="20" t="str">
        <f aca="false">IF(OR(J25="",J25=0),"",MIN(1,K25/J25))</f>
        <v/>
      </c>
      <c r="S25" s="21" t="str">
        <f aca="true">IF(H25="","",IF(I25="",MAX(0,TODAY()-H25),MAX(0,I25-H25)))</f>
        <v/>
      </c>
      <c r="T25" s="14" t="str">
        <f aca="false">IF(OR(H25="",I25=""),"",IF(I25&lt;=H25,"S","N"))</f>
        <v/>
      </c>
      <c r="U25" s="14" t="str">
        <f aca="false">IF(A25="","",IF(AND(N25="S",O25="S",P25="S"),"S","N"))</f>
        <v/>
      </c>
      <c r="V25" s="13"/>
      <c r="W25" s="18"/>
      <c r="X25" s="19" t="str">
        <f aca="false">IF(W25="","",W25-G25)</f>
        <v/>
      </c>
      <c r="Y25" s="14" t="str">
        <f aca="true">IF(A25="","",IF(K25=0,IF(AND(H25&lt;&gt;"",TODAY()&gt;H25),"Vencida","Pendiente"),IF(K25&lt;J25,"Parcial","Completa")))</f>
        <v/>
      </c>
      <c r="Z25" s="16"/>
      <c r="AA25" s="13"/>
      <c r="AB25" s="14" t="str">
        <f aca="false">IF(W25="","Sin factura",IF(ABS(X25)&lt;=0.01,"OK","Revisar"))</f>
        <v>Sin factura</v>
      </c>
      <c r="AC25" s="13"/>
      <c r="AD25" s="14" t="str">
        <f aca="false">IF(A25="","",IF(L25="N","Producto no conforme",IF(M25="N","Falta registro sanitario",IF(OR(Y25="Parcial",Y25="Vencida"),IF(Z25="","Reprogramar recepción","Reprogramada "&amp;TEXT(Z25,"dd/mm")),IF(Y25="Pendiente","En espera",IF(U25="N","Completar documentos",IF(AB25="Revisar","Revisar importe facturado",IF(AC25&lt;&gt;"S","Registrar en Kontrollers","OK"))))))))</f>
        <v/>
      </c>
      <c r="AE25" s="13"/>
    </row>
    <row r="26" customFormat="false" ht="15" hidden="false" customHeight="false" outlineLevel="0" collapsed="false">
      <c r="A26" s="13"/>
      <c r="B26" s="16"/>
      <c r="C26" s="13"/>
      <c r="D26" s="13"/>
      <c r="E26" s="13"/>
      <c r="F26" s="13"/>
      <c r="G26" s="18"/>
      <c r="H26" s="16"/>
      <c r="I26" s="16"/>
      <c r="J26" s="17"/>
      <c r="K26" s="17"/>
      <c r="L26" s="13"/>
      <c r="M26" s="13"/>
      <c r="N26" s="13"/>
      <c r="O26" s="13"/>
      <c r="P26" s="13"/>
      <c r="Q26" s="14" t="str">
        <f aca="false">IF(B26="","",MONTH(B26))</f>
        <v/>
      </c>
      <c r="R26" s="20" t="str">
        <f aca="false">IF(OR(J26="",J26=0),"",MIN(1,K26/J26))</f>
        <v/>
      </c>
      <c r="S26" s="21" t="str">
        <f aca="true">IF(H26="","",IF(I26="",MAX(0,TODAY()-H26),MAX(0,I26-H26)))</f>
        <v/>
      </c>
      <c r="T26" s="14" t="str">
        <f aca="false">IF(OR(H26="",I26=""),"",IF(I26&lt;=H26,"S","N"))</f>
        <v/>
      </c>
      <c r="U26" s="14" t="str">
        <f aca="false">IF(A26="","",IF(AND(N26="S",O26="S",P26="S"),"S","N"))</f>
        <v/>
      </c>
      <c r="V26" s="13"/>
      <c r="W26" s="18"/>
      <c r="X26" s="19" t="str">
        <f aca="false">IF(W26="","",W26-G26)</f>
        <v/>
      </c>
      <c r="Y26" s="14" t="str">
        <f aca="true">IF(A26="","",IF(K26=0,IF(AND(H26&lt;&gt;"",TODAY()&gt;H26),"Vencida","Pendiente"),IF(K26&lt;J26,"Parcial","Completa")))</f>
        <v/>
      </c>
      <c r="Z26" s="16"/>
      <c r="AA26" s="13"/>
      <c r="AB26" s="14" t="str">
        <f aca="false">IF(W26="","Sin factura",IF(ABS(X26)&lt;=0.01,"OK","Revisar"))</f>
        <v>Sin factura</v>
      </c>
      <c r="AC26" s="13"/>
      <c r="AD26" s="14" t="str">
        <f aca="false">IF(A26="","",IF(L26="N","Producto no conforme",IF(M26="N","Falta registro sanitario",IF(OR(Y26="Parcial",Y26="Vencida"),IF(Z26="","Reprogramar recepción","Reprogramada "&amp;TEXT(Z26,"dd/mm")),IF(Y26="Pendiente","En espera",IF(U26="N","Completar documentos",IF(AB26="Revisar","Revisar importe facturado",IF(AC26&lt;&gt;"S","Registrar en Kontrollers","OK"))))))))</f>
        <v/>
      </c>
      <c r="AE26" s="13"/>
    </row>
    <row r="27" customFormat="false" ht="15" hidden="false" customHeight="false" outlineLevel="0" collapsed="false">
      <c r="A27" s="13"/>
      <c r="B27" s="16"/>
      <c r="C27" s="13"/>
      <c r="D27" s="13"/>
      <c r="E27" s="13"/>
      <c r="F27" s="13"/>
      <c r="G27" s="18"/>
      <c r="H27" s="16"/>
      <c r="I27" s="16"/>
      <c r="J27" s="17"/>
      <c r="K27" s="17"/>
      <c r="L27" s="13"/>
      <c r="M27" s="13"/>
      <c r="N27" s="13"/>
      <c r="O27" s="13"/>
      <c r="P27" s="13"/>
      <c r="Q27" s="14" t="str">
        <f aca="false">IF(B27="","",MONTH(B27))</f>
        <v/>
      </c>
      <c r="R27" s="20" t="str">
        <f aca="false">IF(OR(J27="",J27=0),"",MIN(1,K27/J27))</f>
        <v/>
      </c>
      <c r="S27" s="21" t="str">
        <f aca="true">IF(H27="","",IF(I27="",MAX(0,TODAY()-H27),MAX(0,I27-H27)))</f>
        <v/>
      </c>
      <c r="T27" s="14" t="str">
        <f aca="false">IF(OR(H27="",I27=""),"",IF(I27&lt;=H27,"S","N"))</f>
        <v/>
      </c>
      <c r="U27" s="14" t="str">
        <f aca="false">IF(A27="","",IF(AND(N27="S",O27="S",P27="S"),"S","N"))</f>
        <v/>
      </c>
      <c r="V27" s="13"/>
      <c r="W27" s="18"/>
      <c r="X27" s="19" t="str">
        <f aca="false">IF(W27="","",W27-G27)</f>
        <v/>
      </c>
      <c r="Y27" s="14" t="str">
        <f aca="true">IF(A27="","",IF(K27=0,IF(AND(H27&lt;&gt;"",TODAY()&gt;H27),"Vencida","Pendiente"),IF(K27&lt;J27,"Parcial","Completa")))</f>
        <v/>
      </c>
      <c r="Z27" s="16"/>
      <c r="AA27" s="13"/>
      <c r="AB27" s="14" t="str">
        <f aca="false">IF(W27="","Sin factura",IF(ABS(X27)&lt;=0.01,"OK","Revisar"))</f>
        <v>Sin factura</v>
      </c>
      <c r="AC27" s="13"/>
      <c r="AD27" s="14" t="str">
        <f aca="false">IF(A27="","",IF(L27="N","Producto no conforme",IF(M27="N","Falta registro sanitario",IF(OR(Y27="Parcial",Y27="Vencida"),IF(Z27="","Reprogramar recepción","Reprogramada "&amp;TEXT(Z27,"dd/mm")),IF(Y27="Pendiente","En espera",IF(U27="N","Completar documentos",IF(AB27="Revisar","Revisar importe facturado",IF(AC27&lt;&gt;"S","Registrar en Kontrollers","OK"))))))))</f>
        <v/>
      </c>
      <c r="AE27" s="13"/>
    </row>
    <row r="28" customFormat="false" ht="15" hidden="false" customHeight="false" outlineLevel="0" collapsed="false">
      <c r="A28" s="13"/>
      <c r="B28" s="16"/>
      <c r="C28" s="13"/>
      <c r="D28" s="13"/>
      <c r="E28" s="13"/>
      <c r="F28" s="13"/>
      <c r="G28" s="18"/>
      <c r="H28" s="16"/>
      <c r="I28" s="16"/>
      <c r="J28" s="17"/>
      <c r="K28" s="17"/>
      <c r="L28" s="13"/>
      <c r="M28" s="13"/>
      <c r="N28" s="13"/>
      <c r="O28" s="13"/>
      <c r="P28" s="13"/>
      <c r="Q28" s="14" t="str">
        <f aca="false">IF(B28="","",MONTH(B28))</f>
        <v/>
      </c>
      <c r="R28" s="20" t="str">
        <f aca="false">IF(OR(J28="",J28=0),"",MIN(1,K28/J28))</f>
        <v/>
      </c>
      <c r="S28" s="21" t="str">
        <f aca="true">IF(H28="","",IF(I28="",MAX(0,TODAY()-H28),MAX(0,I28-H28)))</f>
        <v/>
      </c>
      <c r="T28" s="14" t="str">
        <f aca="false">IF(OR(H28="",I28=""),"",IF(I28&lt;=H28,"S","N"))</f>
        <v/>
      </c>
      <c r="U28" s="14" t="str">
        <f aca="false">IF(A28="","",IF(AND(N28="S",O28="S",P28="S"),"S","N"))</f>
        <v/>
      </c>
      <c r="V28" s="13"/>
      <c r="W28" s="18"/>
      <c r="X28" s="19" t="str">
        <f aca="false">IF(W28="","",W28-G28)</f>
        <v/>
      </c>
      <c r="Y28" s="14" t="str">
        <f aca="true">IF(A28="","",IF(K28=0,IF(AND(H28&lt;&gt;"",TODAY()&gt;H28),"Vencida","Pendiente"),IF(K28&lt;J28,"Parcial","Completa")))</f>
        <v/>
      </c>
      <c r="Z28" s="16"/>
      <c r="AA28" s="13"/>
      <c r="AB28" s="14" t="str">
        <f aca="false">IF(W28="","Sin factura",IF(ABS(X28)&lt;=0.01,"OK","Revisar"))</f>
        <v>Sin factura</v>
      </c>
      <c r="AC28" s="13"/>
      <c r="AD28" s="14" t="str">
        <f aca="false">IF(A28="","",IF(L28="N","Producto no conforme",IF(M28="N","Falta registro sanitario",IF(OR(Y28="Parcial",Y28="Vencida"),IF(Z28="","Reprogramar recepción","Reprogramada "&amp;TEXT(Z28,"dd/mm")),IF(Y28="Pendiente","En espera",IF(U28="N","Completar documentos",IF(AB28="Revisar","Revisar importe facturado",IF(AC28&lt;&gt;"S","Registrar en Kontrollers","OK"))))))))</f>
        <v/>
      </c>
      <c r="AE28" s="13"/>
    </row>
    <row r="29" customFormat="false" ht="15" hidden="false" customHeight="false" outlineLevel="0" collapsed="false">
      <c r="A29" s="13"/>
      <c r="B29" s="16"/>
      <c r="C29" s="13"/>
      <c r="D29" s="13"/>
      <c r="E29" s="13"/>
      <c r="F29" s="13"/>
      <c r="G29" s="18"/>
      <c r="H29" s="16"/>
      <c r="I29" s="16"/>
      <c r="J29" s="17"/>
      <c r="K29" s="17"/>
      <c r="L29" s="13"/>
      <c r="M29" s="13"/>
      <c r="N29" s="13"/>
      <c r="O29" s="13"/>
      <c r="P29" s="13"/>
      <c r="Q29" s="14" t="str">
        <f aca="false">IF(B29="","",MONTH(B29))</f>
        <v/>
      </c>
      <c r="R29" s="20" t="str">
        <f aca="false">IF(OR(J29="",J29=0),"",MIN(1,K29/J29))</f>
        <v/>
      </c>
      <c r="S29" s="21" t="str">
        <f aca="true">IF(H29="","",IF(I29="",MAX(0,TODAY()-H29),MAX(0,I29-H29)))</f>
        <v/>
      </c>
      <c r="T29" s="14" t="str">
        <f aca="false">IF(OR(H29="",I29=""),"",IF(I29&lt;=H29,"S","N"))</f>
        <v/>
      </c>
      <c r="U29" s="14" t="str">
        <f aca="false">IF(A29="","",IF(AND(N29="S",O29="S",P29="S"),"S","N"))</f>
        <v/>
      </c>
      <c r="V29" s="13"/>
      <c r="W29" s="18"/>
      <c r="X29" s="19" t="str">
        <f aca="false">IF(W29="","",W29-G29)</f>
        <v/>
      </c>
      <c r="Y29" s="14" t="str">
        <f aca="true">IF(A29="","",IF(K29=0,IF(AND(H29&lt;&gt;"",TODAY()&gt;H29),"Vencida","Pendiente"),IF(K29&lt;J29,"Parcial","Completa")))</f>
        <v/>
      </c>
      <c r="Z29" s="16"/>
      <c r="AA29" s="13"/>
      <c r="AB29" s="14" t="str">
        <f aca="false">IF(W29="","Sin factura",IF(ABS(X29)&lt;=0.01,"OK","Revisar"))</f>
        <v>Sin factura</v>
      </c>
      <c r="AC29" s="13"/>
      <c r="AD29" s="14" t="str">
        <f aca="false">IF(A29="","",IF(L29="N","Producto no conforme",IF(M29="N","Falta registro sanitario",IF(OR(Y29="Parcial",Y29="Vencida"),IF(Z29="","Reprogramar recepción","Reprogramada "&amp;TEXT(Z29,"dd/mm")),IF(Y29="Pendiente","En espera",IF(U29="N","Completar documentos",IF(AB29="Revisar","Revisar importe facturado",IF(AC29&lt;&gt;"S","Registrar en Kontrollers","OK"))))))))</f>
        <v/>
      </c>
      <c r="AE29" s="13"/>
    </row>
    <row r="30" customFormat="false" ht="15" hidden="false" customHeight="false" outlineLevel="0" collapsed="false">
      <c r="A30" s="13"/>
      <c r="B30" s="16"/>
      <c r="C30" s="13"/>
      <c r="D30" s="13"/>
      <c r="E30" s="13"/>
      <c r="F30" s="13"/>
      <c r="G30" s="18"/>
      <c r="H30" s="16"/>
      <c r="I30" s="16"/>
      <c r="J30" s="17"/>
      <c r="K30" s="17"/>
      <c r="L30" s="13"/>
      <c r="M30" s="13"/>
      <c r="N30" s="13"/>
      <c r="O30" s="13"/>
      <c r="P30" s="13"/>
      <c r="Q30" s="14" t="str">
        <f aca="false">IF(B30="","",MONTH(B30))</f>
        <v/>
      </c>
      <c r="R30" s="20" t="str">
        <f aca="false">IF(OR(J30="",J30=0),"",MIN(1,K30/J30))</f>
        <v/>
      </c>
      <c r="S30" s="21" t="str">
        <f aca="true">IF(H30="","",IF(I30="",MAX(0,TODAY()-H30),MAX(0,I30-H30)))</f>
        <v/>
      </c>
      <c r="T30" s="14" t="str">
        <f aca="false">IF(OR(H30="",I30=""),"",IF(I30&lt;=H30,"S","N"))</f>
        <v/>
      </c>
      <c r="U30" s="14" t="str">
        <f aca="false">IF(A30="","",IF(AND(N30="S",O30="S",P30="S"),"S","N"))</f>
        <v/>
      </c>
      <c r="V30" s="13"/>
      <c r="W30" s="18"/>
      <c r="X30" s="19" t="str">
        <f aca="false">IF(W30="","",W30-G30)</f>
        <v/>
      </c>
      <c r="Y30" s="14" t="str">
        <f aca="true">IF(A30="","",IF(K30=0,IF(AND(H30&lt;&gt;"",TODAY()&gt;H30),"Vencida","Pendiente"),IF(K30&lt;J30,"Parcial","Completa")))</f>
        <v/>
      </c>
      <c r="Z30" s="16"/>
      <c r="AA30" s="13"/>
      <c r="AB30" s="14" t="str">
        <f aca="false">IF(W30="","Sin factura",IF(ABS(X30)&lt;=0.01,"OK","Revisar"))</f>
        <v>Sin factura</v>
      </c>
      <c r="AC30" s="13"/>
      <c r="AD30" s="14" t="str">
        <f aca="false">IF(A30="","",IF(L30="N","Producto no conforme",IF(M30="N","Falta registro sanitario",IF(OR(Y30="Parcial",Y30="Vencida"),IF(Z30="","Reprogramar recepción","Reprogramada "&amp;TEXT(Z30,"dd/mm")),IF(Y30="Pendiente","En espera",IF(U30="N","Completar documentos",IF(AB30="Revisar","Revisar importe facturado",IF(AC30&lt;&gt;"S","Registrar en Kontrollers","OK"))))))))</f>
        <v/>
      </c>
      <c r="AE30" s="13"/>
    </row>
    <row r="31" customFormat="false" ht="15" hidden="false" customHeight="false" outlineLevel="0" collapsed="false">
      <c r="A31" s="13"/>
      <c r="B31" s="16"/>
      <c r="C31" s="13"/>
      <c r="D31" s="13"/>
      <c r="E31" s="13"/>
      <c r="F31" s="13"/>
      <c r="G31" s="18"/>
      <c r="H31" s="16"/>
      <c r="I31" s="16"/>
      <c r="J31" s="17"/>
      <c r="K31" s="17"/>
      <c r="L31" s="13"/>
      <c r="M31" s="13"/>
      <c r="N31" s="13"/>
      <c r="O31" s="13"/>
      <c r="P31" s="13"/>
      <c r="Q31" s="14" t="str">
        <f aca="false">IF(B31="","",MONTH(B31))</f>
        <v/>
      </c>
      <c r="R31" s="20" t="str">
        <f aca="false">IF(OR(J31="",J31=0),"",MIN(1,K31/J31))</f>
        <v/>
      </c>
      <c r="S31" s="21" t="str">
        <f aca="true">IF(H31="","",IF(I31="",MAX(0,TODAY()-H31),MAX(0,I31-H31)))</f>
        <v/>
      </c>
      <c r="T31" s="14" t="str">
        <f aca="false">IF(OR(H31="",I31=""),"",IF(I31&lt;=H31,"S","N"))</f>
        <v/>
      </c>
      <c r="U31" s="14" t="str">
        <f aca="false">IF(A31="","",IF(AND(N31="S",O31="S",P31="S"),"S","N"))</f>
        <v/>
      </c>
      <c r="V31" s="13"/>
      <c r="W31" s="18"/>
      <c r="X31" s="19" t="str">
        <f aca="false">IF(W31="","",W31-G31)</f>
        <v/>
      </c>
      <c r="Y31" s="14" t="str">
        <f aca="true">IF(A31="","",IF(K31=0,IF(AND(H31&lt;&gt;"",TODAY()&gt;H31),"Vencida","Pendiente"),IF(K31&lt;J31,"Parcial","Completa")))</f>
        <v/>
      </c>
      <c r="Z31" s="16"/>
      <c r="AA31" s="13"/>
      <c r="AB31" s="14" t="str">
        <f aca="false">IF(W31="","Sin factura",IF(ABS(X31)&lt;=0.01,"OK","Revisar"))</f>
        <v>Sin factura</v>
      </c>
      <c r="AC31" s="13"/>
      <c r="AD31" s="14" t="str">
        <f aca="false">IF(A31="","",IF(L31="N","Producto no conforme",IF(M31="N","Falta registro sanitario",IF(OR(Y31="Parcial",Y31="Vencida"),IF(Z31="","Reprogramar recepción","Reprogramada "&amp;TEXT(Z31,"dd/mm")),IF(Y31="Pendiente","En espera",IF(U31="N","Completar documentos",IF(AB31="Revisar","Revisar importe facturado",IF(AC31&lt;&gt;"S","Registrar en Kontrollers","OK"))))))))</f>
        <v/>
      </c>
      <c r="AE31" s="13"/>
    </row>
    <row r="32" customFormat="false" ht="15" hidden="false" customHeight="false" outlineLevel="0" collapsed="false">
      <c r="A32" s="13"/>
      <c r="B32" s="16"/>
      <c r="C32" s="13"/>
      <c r="D32" s="13"/>
      <c r="E32" s="13"/>
      <c r="F32" s="13"/>
      <c r="G32" s="18"/>
      <c r="H32" s="16"/>
      <c r="I32" s="16"/>
      <c r="J32" s="17"/>
      <c r="K32" s="17"/>
      <c r="L32" s="13"/>
      <c r="M32" s="13"/>
      <c r="N32" s="13"/>
      <c r="O32" s="13"/>
      <c r="P32" s="13"/>
      <c r="Q32" s="14" t="str">
        <f aca="false">IF(B32="","",MONTH(B32))</f>
        <v/>
      </c>
      <c r="R32" s="20" t="str">
        <f aca="false">IF(OR(J32="",J32=0),"",MIN(1,K32/J32))</f>
        <v/>
      </c>
      <c r="S32" s="21" t="str">
        <f aca="true">IF(H32="","",IF(I32="",MAX(0,TODAY()-H32),MAX(0,I32-H32)))</f>
        <v/>
      </c>
      <c r="T32" s="14" t="str">
        <f aca="false">IF(OR(H32="",I32=""),"",IF(I32&lt;=H32,"S","N"))</f>
        <v/>
      </c>
      <c r="U32" s="14" t="str">
        <f aca="false">IF(A32="","",IF(AND(N32="S",O32="S",P32="S"),"S","N"))</f>
        <v/>
      </c>
      <c r="V32" s="13"/>
      <c r="W32" s="18"/>
      <c r="X32" s="19" t="str">
        <f aca="false">IF(W32="","",W32-G32)</f>
        <v/>
      </c>
      <c r="Y32" s="14" t="str">
        <f aca="true">IF(A32="","",IF(K32=0,IF(AND(H32&lt;&gt;"",TODAY()&gt;H32),"Vencida","Pendiente"),IF(K32&lt;J32,"Parcial","Completa")))</f>
        <v/>
      </c>
      <c r="Z32" s="16"/>
      <c r="AA32" s="13"/>
      <c r="AB32" s="14" t="str">
        <f aca="false">IF(W32="","Sin factura",IF(ABS(X32)&lt;=0.01,"OK","Revisar"))</f>
        <v>Sin factura</v>
      </c>
      <c r="AC32" s="13"/>
      <c r="AD32" s="14" t="str">
        <f aca="false">IF(A32="","",IF(L32="N","Producto no conforme",IF(M32="N","Falta registro sanitario",IF(OR(Y32="Parcial",Y32="Vencida"),IF(Z32="","Reprogramar recepción","Reprogramada "&amp;TEXT(Z32,"dd/mm")),IF(Y32="Pendiente","En espera",IF(U32="N","Completar documentos",IF(AB32="Revisar","Revisar importe facturado",IF(AC32&lt;&gt;"S","Registrar en Kontrollers","OK"))))))))</f>
        <v/>
      </c>
      <c r="AE32" s="13"/>
    </row>
    <row r="33" customFormat="false" ht="15" hidden="false" customHeight="false" outlineLevel="0" collapsed="false">
      <c r="A33" s="13"/>
      <c r="B33" s="16"/>
      <c r="C33" s="13"/>
      <c r="D33" s="13"/>
      <c r="E33" s="13"/>
      <c r="F33" s="13"/>
      <c r="G33" s="18"/>
      <c r="H33" s="16"/>
      <c r="I33" s="16"/>
      <c r="J33" s="17"/>
      <c r="K33" s="17"/>
      <c r="L33" s="13"/>
      <c r="M33" s="13"/>
      <c r="N33" s="13"/>
      <c r="O33" s="13"/>
      <c r="P33" s="13"/>
      <c r="Q33" s="14" t="str">
        <f aca="false">IF(B33="","",MONTH(B33))</f>
        <v/>
      </c>
      <c r="R33" s="20" t="str">
        <f aca="false">IF(OR(J33="",J33=0),"",MIN(1,K33/J33))</f>
        <v/>
      </c>
      <c r="S33" s="21" t="str">
        <f aca="true">IF(H33="","",IF(I33="",MAX(0,TODAY()-H33),MAX(0,I33-H33)))</f>
        <v/>
      </c>
      <c r="T33" s="14" t="str">
        <f aca="false">IF(OR(H33="",I33=""),"",IF(I33&lt;=H33,"S","N"))</f>
        <v/>
      </c>
      <c r="U33" s="14" t="str">
        <f aca="false">IF(A33="","",IF(AND(N33="S",O33="S",P33="S"),"S","N"))</f>
        <v/>
      </c>
      <c r="V33" s="13"/>
      <c r="W33" s="18"/>
      <c r="X33" s="19" t="str">
        <f aca="false">IF(W33="","",W33-G33)</f>
        <v/>
      </c>
      <c r="Y33" s="14" t="str">
        <f aca="true">IF(A33="","",IF(K33=0,IF(AND(H33&lt;&gt;"",TODAY()&gt;H33),"Vencida","Pendiente"),IF(K33&lt;J33,"Parcial","Completa")))</f>
        <v/>
      </c>
      <c r="Z33" s="16"/>
      <c r="AA33" s="13"/>
      <c r="AB33" s="14" t="str">
        <f aca="false">IF(W33="","Sin factura",IF(ABS(X33)&lt;=0.01,"OK","Revisar"))</f>
        <v>Sin factura</v>
      </c>
      <c r="AC33" s="13"/>
      <c r="AD33" s="14" t="str">
        <f aca="false">IF(A33="","",IF(L33="N","Producto no conforme",IF(M33="N","Falta registro sanitario",IF(OR(Y33="Parcial",Y33="Vencida"),IF(Z33="","Reprogramar recepción","Reprogramada "&amp;TEXT(Z33,"dd/mm")),IF(Y33="Pendiente","En espera",IF(U33="N","Completar documentos",IF(AB33="Revisar","Revisar importe facturado",IF(AC33&lt;&gt;"S","Registrar en Kontrollers","OK"))))))))</f>
        <v/>
      </c>
      <c r="AE33" s="13"/>
    </row>
    <row r="34" customFormat="false" ht="15" hidden="false" customHeight="false" outlineLevel="0" collapsed="false">
      <c r="A34" s="13"/>
      <c r="B34" s="16"/>
      <c r="C34" s="13"/>
      <c r="D34" s="13"/>
      <c r="E34" s="13"/>
      <c r="F34" s="13"/>
      <c r="G34" s="18"/>
      <c r="H34" s="16"/>
      <c r="I34" s="16"/>
      <c r="J34" s="17"/>
      <c r="K34" s="17"/>
      <c r="L34" s="13"/>
      <c r="M34" s="13"/>
      <c r="N34" s="13"/>
      <c r="O34" s="13"/>
      <c r="P34" s="13"/>
      <c r="Q34" s="14" t="str">
        <f aca="false">IF(B34="","",MONTH(B34))</f>
        <v/>
      </c>
      <c r="R34" s="20" t="str">
        <f aca="false">IF(OR(J34="",J34=0),"",MIN(1,K34/J34))</f>
        <v/>
      </c>
      <c r="S34" s="21" t="str">
        <f aca="true">IF(H34="","",IF(I34="",MAX(0,TODAY()-H34),MAX(0,I34-H34)))</f>
        <v/>
      </c>
      <c r="T34" s="14" t="str">
        <f aca="false">IF(OR(H34="",I34=""),"",IF(I34&lt;=H34,"S","N"))</f>
        <v/>
      </c>
      <c r="U34" s="14" t="str">
        <f aca="false">IF(A34="","",IF(AND(N34="S",O34="S",P34="S"),"S","N"))</f>
        <v/>
      </c>
      <c r="V34" s="13"/>
      <c r="W34" s="18"/>
      <c r="X34" s="19" t="str">
        <f aca="false">IF(W34="","",W34-G34)</f>
        <v/>
      </c>
      <c r="Y34" s="14" t="str">
        <f aca="true">IF(A34="","",IF(K34=0,IF(AND(H34&lt;&gt;"",TODAY()&gt;H34),"Vencida","Pendiente"),IF(K34&lt;J34,"Parcial","Completa")))</f>
        <v/>
      </c>
      <c r="Z34" s="16"/>
      <c r="AA34" s="13"/>
      <c r="AB34" s="14" t="str">
        <f aca="false">IF(W34="","Sin factura",IF(ABS(X34)&lt;=0.01,"OK","Revisar"))</f>
        <v>Sin factura</v>
      </c>
      <c r="AC34" s="13"/>
      <c r="AD34" s="14" t="str">
        <f aca="false">IF(A34="","",IF(L34="N","Producto no conforme",IF(M34="N","Falta registro sanitario",IF(OR(Y34="Parcial",Y34="Vencida"),IF(Z34="","Reprogramar recepción","Reprogramada "&amp;TEXT(Z34,"dd/mm")),IF(Y34="Pendiente","En espera",IF(U34="N","Completar documentos",IF(AB34="Revisar","Revisar importe facturado",IF(AC34&lt;&gt;"S","Registrar en Kontrollers","OK"))))))))</f>
        <v/>
      </c>
      <c r="AE34" s="13"/>
    </row>
    <row r="35" customFormat="false" ht="15" hidden="false" customHeight="false" outlineLevel="0" collapsed="false">
      <c r="A35" s="13"/>
      <c r="B35" s="16"/>
      <c r="C35" s="13"/>
      <c r="D35" s="13"/>
      <c r="E35" s="13"/>
      <c r="F35" s="13"/>
      <c r="G35" s="18"/>
      <c r="H35" s="16"/>
      <c r="I35" s="16"/>
      <c r="J35" s="17"/>
      <c r="K35" s="17"/>
      <c r="L35" s="13"/>
      <c r="M35" s="13"/>
      <c r="N35" s="13"/>
      <c r="O35" s="13"/>
      <c r="P35" s="13"/>
      <c r="Q35" s="14" t="str">
        <f aca="false">IF(B35="","",MONTH(B35))</f>
        <v/>
      </c>
      <c r="R35" s="20" t="str">
        <f aca="false">IF(OR(J35="",J35=0),"",MIN(1,K35/J35))</f>
        <v/>
      </c>
      <c r="S35" s="21" t="str">
        <f aca="true">IF(H35="","",IF(I35="",MAX(0,TODAY()-H35),MAX(0,I35-H35)))</f>
        <v/>
      </c>
      <c r="T35" s="14" t="str">
        <f aca="false">IF(OR(H35="",I35=""),"",IF(I35&lt;=H35,"S","N"))</f>
        <v/>
      </c>
      <c r="U35" s="14" t="str">
        <f aca="false">IF(A35="","",IF(AND(N35="S",O35="S",P35="S"),"S","N"))</f>
        <v/>
      </c>
      <c r="V35" s="13"/>
      <c r="W35" s="18"/>
      <c r="X35" s="19" t="str">
        <f aca="false">IF(W35="","",W35-G35)</f>
        <v/>
      </c>
      <c r="Y35" s="14" t="str">
        <f aca="true">IF(A35="","",IF(K35=0,IF(AND(H35&lt;&gt;"",TODAY()&gt;H35),"Vencida","Pendiente"),IF(K35&lt;J35,"Parcial","Completa")))</f>
        <v/>
      </c>
      <c r="Z35" s="16"/>
      <c r="AA35" s="13"/>
      <c r="AB35" s="14" t="str">
        <f aca="false">IF(W35="","Sin factura",IF(ABS(X35)&lt;=0.01,"OK","Revisar"))</f>
        <v>Sin factura</v>
      </c>
      <c r="AC35" s="13"/>
      <c r="AD35" s="14" t="str">
        <f aca="false">IF(A35="","",IF(L35="N","Producto no conforme",IF(M35="N","Falta registro sanitario",IF(OR(Y35="Parcial",Y35="Vencida"),IF(Z35="","Reprogramar recepción","Reprogramada "&amp;TEXT(Z35,"dd/mm")),IF(Y35="Pendiente","En espera",IF(U35="N","Completar documentos",IF(AB35="Revisar","Revisar importe facturado",IF(AC35&lt;&gt;"S","Registrar en Kontrollers","OK"))))))))</f>
        <v/>
      </c>
      <c r="AE35" s="13"/>
    </row>
    <row r="36" customFormat="false" ht="15" hidden="false" customHeight="false" outlineLevel="0" collapsed="false">
      <c r="A36" s="13"/>
      <c r="B36" s="16"/>
      <c r="C36" s="13"/>
      <c r="D36" s="13"/>
      <c r="E36" s="13"/>
      <c r="F36" s="13"/>
      <c r="G36" s="18"/>
      <c r="H36" s="16"/>
      <c r="I36" s="16"/>
      <c r="J36" s="17"/>
      <c r="K36" s="17"/>
      <c r="L36" s="13"/>
      <c r="M36" s="13"/>
      <c r="N36" s="13"/>
      <c r="O36" s="13"/>
      <c r="P36" s="13"/>
      <c r="Q36" s="14" t="str">
        <f aca="false">IF(B36="","",MONTH(B36))</f>
        <v/>
      </c>
      <c r="R36" s="20" t="str">
        <f aca="false">IF(OR(J36="",J36=0),"",MIN(1,K36/J36))</f>
        <v/>
      </c>
      <c r="S36" s="21" t="str">
        <f aca="true">IF(H36="","",IF(I36="",MAX(0,TODAY()-H36),MAX(0,I36-H36)))</f>
        <v/>
      </c>
      <c r="T36" s="14" t="str">
        <f aca="false">IF(OR(H36="",I36=""),"",IF(I36&lt;=H36,"S","N"))</f>
        <v/>
      </c>
      <c r="U36" s="14" t="str">
        <f aca="false">IF(A36="","",IF(AND(N36="S",O36="S",P36="S"),"S","N"))</f>
        <v/>
      </c>
      <c r="V36" s="13"/>
      <c r="W36" s="18"/>
      <c r="X36" s="19" t="str">
        <f aca="false">IF(W36="","",W36-G36)</f>
        <v/>
      </c>
      <c r="Y36" s="14" t="str">
        <f aca="true">IF(A36="","",IF(K36=0,IF(AND(H36&lt;&gt;"",TODAY()&gt;H36),"Vencida","Pendiente"),IF(K36&lt;J36,"Parcial","Completa")))</f>
        <v/>
      </c>
      <c r="Z36" s="16"/>
      <c r="AA36" s="13"/>
      <c r="AB36" s="14" t="str">
        <f aca="false">IF(W36="","Sin factura",IF(ABS(X36)&lt;=0.01,"OK","Revisar"))</f>
        <v>Sin factura</v>
      </c>
      <c r="AC36" s="13"/>
      <c r="AD36" s="14" t="str">
        <f aca="false">IF(A36="","",IF(L36="N","Producto no conforme",IF(M36="N","Falta registro sanitario",IF(OR(Y36="Parcial",Y36="Vencida"),IF(Z36="","Reprogramar recepción","Reprogramada "&amp;TEXT(Z36,"dd/mm")),IF(Y36="Pendiente","En espera",IF(U36="N","Completar documentos",IF(AB36="Revisar","Revisar importe facturado",IF(AC36&lt;&gt;"S","Registrar en Kontrollers","OK"))))))))</f>
        <v/>
      </c>
      <c r="AE36" s="13"/>
    </row>
    <row r="37" customFormat="false" ht="15" hidden="false" customHeight="false" outlineLevel="0" collapsed="false">
      <c r="A37" s="13"/>
      <c r="B37" s="16"/>
      <c r="C37" s="13"/>
      <c r="D37" s="13"/>
      <c r="E37" s="13"/>
      <c r="F37" s="13"/>
      <c r="G37" s="18"/>
      <c r="H37" s="16"/>
      <c r="I37" s="16"/>
      <c r="J37" s="17"/>
      <c r="K37" s="17"/>
      <c r="L37" s="13"/>
      <c r="M37" s="13"/>
      <c r="N37" s="13"/>
      <c r="O37" s="13"/>
      <c r="P37" s="13"/>
      <c r="Q37" s="14" t="str">
        <f aca="false">IF(B37="","",MONTH(B37))</f>
        <v/>
      </c>
      <c r="R37" s="20" t="str">
        <f aca="false">IF(OR(J37="",J37=0),"",MIN(1,K37/J37))</f>
        <v/>
      </c>
      <c r="S37" s="21" t="str">
        <f aca="true">IF(H37="","",IF(I37="",MAX(0,TODAY()-H37),MAX(0,I37-H37)))</f>
        <v/>
      </c>
      <c r="T37" s="14" t="str">
        <f aca="false">IF(OR(H37="",I37=""),"",IF(I37&lt;=H37,"S","N"))</f>
        <v/>
      </c>
      <c r="U37" s="14" t="str">
        <f aca="false">IF(A37="","",IF(AND(N37="S",O37="S",P37="S"),"S","N"))</f>
        <v/>
      </c>
      <c r="V37" s="13"/>
      <c r="W37" s="18"/>
      <c r="X37" s="19" t="str">
        <f aca="false">IF(W37="","",W37-G37)</f>
        <v/>
      </c>
      <c r="Y37" s="14" t="str">
        <f aca="true">IF(A37="","",IF(K37=0,IF(AND(H37&lt;&gt;"",TODAY()&gt;H37),"Vencida","Pendiente"),IF(K37&lt;J37,"Parcial","Completa")))</f>
        <v/>
      </c>
      <c r="Z37" s="16"/>
      <c r="AA37" s="13"/>
      <c r="AB37" s="14" t="str">
        <f aca="false">IF(W37="","Sin factura",IF(ABS(X37)&lt;=0.01,"OK","Revisar"))</f>
        <v>Sin factura</v>
      </c>
      <c r="AC37" s="13"/>
      <c r="AD37" s="14" t="str">
        <f aca="false">IF(A37="","",IF(L37="N","Producto no conforme",IF(M37="N","Falta registro sanitario",IF(OR(Y37="Parcial",Y37="Vencida"),IF(Z37="","Reprogramar recepción","Reprogramada "&amp;TEXT(Z37,"dd/mm")),IF(Y37="Pendiente","En espera",IF(U37="N","Completar documentos",IF(AB37="Revisar","Revisar importe facturado",IF(AC37&lt;&gt;"S","Registrar en Kontrollers","OK"))))))))</f>
        <v/>
      </c>
      <c r="AE37" s="13"/>
    </row>
    <row r="38" customFormat="false" ht="15" hidden="false" customHeight="false" outlineLevel="0" collapsed="false">
      <c r="A38" s="13"/>
      <c r="B38" s="16"/>
      <c r="C38" s="13"/>
      <c r="D38" s="13"/>
      <c r="E38" s="13"/>
      <c r="F38" s="13"/>
      <c r="G38" s="18"/>
      <c r="H38" s="16"/>
      <c r="I38" s="16"/>
      <c r="J38" s="17"/>
      <c r="K38" s="17"/>
      <c r="L38" s="13"/>
      <c r="M38" s="13"/>
      <c r="N38" s="13"/>
      <c r="O38" s="13"/>
      <c r="P38" s="13"/>
      <c r="Q38" s="14" t="str">
        <f aca="false">IF(B38="","",MONTH(B38))</f>
        <v/>
      </c>
      <c r="R38" s="20" t="str">
        <f aca="false">IF(OR(J38="",J38=0),"",MIN(1,K38/J38))</f>
        <v/>
      </c>
      <c r="S38" s="21" t="str">
        <f aca="true">IF(H38="","",IF(I38="",MAX(0,TODAY()-H38),MAX(0,I38-H38)))</f>
        <v/>
      </c>
      <c r="T38" s="14" t="str">
        <f aca="false">IF(OR(H38="",I38=""),"",IF(I38&lt;=H38,"S","N"))</f>
        <v/>
      </c>
      <c r="U38" s="14" t="str">
        <f aca="false">IF(A38="","",IF(AND(N38="S",O38="S",P38="S"),"S","N"))</f>
        <v/>
      </c>
      <c r="V38" s="13"/>
      <c r="W38" s="18"/>
      <c r="X38" s="19" t="str">
        <f aca="false">IF(W38="","",W38-G38)</f>
        <v/>
      </c>
      <c r="Y38" s="14" t="str">
        <f aca="true">IF(A38="","",IF(K38=0,IF(AND(H38&lt;&gt;"",TODAY()&gt;H38),"Vencida","Pendiente"),IF(K38&lt;J38,"Parcial","Completa")))</f>
        <v/>
      </c>
      <c r="Z38" s="16"/>
      <c r="AA38" s="13"/>
      <c r="AB38" s="14" t="str">
        <f aca="false">IF(W38="","Sin factura",IF(ABS(X38)&lt;=0.01,"OK","Revisar"))</f>
        <v>Sin factura</v>
      </c>
      <c r="AC38" s="13"/>
      <c r="AD38" s="14" t="str">
        <f aca="false">IF(A38="","",IF(L38="N","Producto no conforme",IF(M38="N","Falta registro sanitario",IF(OR(Y38="Parcial",Y38="Vencida"),IF(Z38="","Reprogramar recepción","Reprogramada "&amp;TEXT(Z38,"dd/mm")),IF(Y38="Pendiente","En espera",IF(U38="N","Completar documentos",IF(AB38="Revisar","Revisar importe facturado",IF(AC38&lt;&gt;"S","Registrar en Kontrollers","OK"))))))))</f>
        <v/>
      </c>
      <c r="AE38" s="13"/>
    </row>
    <row r="39" customFormat="false" ht="15" hidden="false" customHeight="false" outlineLevel="0" collapsed="false">
      <c r="A39" s="13"/>
      <c r="B39" s="16"/>
      <c r="C39" s="13"/>
      <c r="D39" s="13"/>
      <c r="E39" s="13"/>
      <c r="F39" s="13"/>
      <c r="G39" s="18"/>
      <c r="H39" s="16"/>
      <c r="I39" s="16"/>
      <c r="J39" s="17"/>
      <c r="K39" s="17"/>
      <c r="L39" s="13"/>
      <c r="M39" s="13"/>
      <c r="N39" s="13"/>
      <c r="O39" s="13"/>
      <c r="P39" s="13"/>
      <c r="Q39" s="14" t="str">
        <f aca="false">IF(B39="","",MONTH(B39))</f>
        <v/>
      </c>
      <c r="R39" s="20" t="str">
        <f aca="false">IF(OR(J39="",J39=0),"",MIN(1,K39/J39))</f>
        <v/>
      </c>
      <c r="S39" s="21" t="str">
        <f aca="true">IF(H39="","",IF(I39="",MAX(0,TODAY()-H39),MAX(0,I39-H39)))</f>
        <v/>
      </c>
      <c r="T39" s="14" t="str">
        <f aca="false">IF(OR(H39="",I39=""),"",IF(I39&lt;=H39,"S","N"))</f>
        <v/>
      </c>
      <c r="U39" s="14" t="str">
        <f aca="false">IF(A39="","",IF(AND(N39="S",O39="S",P39="S"),"S","N"))</f>
        <v/>
      </c>
      <c r="V39" s="13"/>
      <c r="W39" s="18"/>
      <c r="X39" s="19" t="str">
        <f aca="false">IF(W39="","",W39-G39)</f>
        <v/>
      </c>
      <c r="Y39" s="14" t="str">
        <f aca="true">IF(A39="","",IF(K39=0,IF(AND(H39&lt;&gt;"",TODAY()&gt;H39),"Vencida","Pendiente"),IF(K39&lt;J39,"Parcial","Completa")))</f>
        <v/>
      </c>
      <c r="Z39" s="16"/>
      <c r="AA39" s="13"/>
      <c r="AB39" s="14" t="str">
        <f aca="false">IF(W39="","Sin factura",IF(ABS(X39)&lt;=0.01,"OK","Revisar"))</f>
        <v>Sin factura</v>
      </c>
      <c r="AC39" s="13"/>
      <c r="AD39" s="14" t="str">
        <f aca="false">IF(A39="","",IF(L39="N","Producto no conforme",IF(M39="N","Falta registro sanitario",IF(OR(Y39="Parcial",Y39="Vencida"),IF(Z39="","Reprogramar recepción","Reprogramada "&amp;TEXT(Z39,"dd/mm")),IF(Y39="Pendiente","En espera",IF(U39="N","Completar documentos",IF(AB39="Revisar","Revisar importe facturado",IF(AC39&lt;&gt;"S","Registrar en Kontrollers","OK"))))))))</f>
        <v/>
      </c>
      <c r="AE39" s="13"/>
    </row>
    <row r="40" customFormat="false" ht="15" hidden="false" customHeight="false" outlineLevel="0" collapsed="false">
      <c r="A40" s="13"/>
      <c r="B40" s="16"/>
      <c r="C40" s="13"/>
      <c r="D40" s="13"/>
      <c r="E40" s="13"/>
      <c r="F40" s="13"/>
      <c r="G40" s="18"/>
      <c r="H40" s="16"/>
      <c r="I40" s="16"/>
      <c r="J40" s="17"/>
      <c r="K40" s="17"/>
      <c r="L40" s="13"/>
      <c r="M40" s="13"/>
      <c r="N40" s="13"/>
      <c r="O40" s="13"/>
      <c r="P40" s="13"/>
      <c r="Q40" s="14" t="str">
        <f aca="false">IF(B40="","",MONTH(B40))</f>
        <v/>
      </c>
      <c r="R40" s="20" t="str">
        <f aca="false">IF(OR(J40="",J40=0),"",MIN(1,K40/J40))</f>
        <v/>
      </c>
      <c r="S40" s="21" t="str">
        <f aca="true">IF(H40="","",IF(I40="",MAX(0,TODAY()-H40),MAX(0,I40-H40)))</f>
        <v/>
      </c>
      <c r="T40" s="14" t="str">
        <f aca="false">IF(OR(H40="",I40=""),"",IF(I40&lt;=H40,"S","N"))</f>
        <v/>
      </c>
      <c r="U40" s="14" t="str">
        <f aca="false">IF(A40="","",IF(AND(N40="S",O40="S",P40="S"),"S","N"))</f>
        <v/>
      </c>
      <c r="V40" s="13"/>
      <c r="W40" s="18"/>
      <c r="X40" s="19" t="str">
        <f aca="false">IF(W40="","",W40-G40)</f>
        <v/>
      </c>
      <c r="Y40" s="14" t="str">
        <f aca="true">IF(A40="","",IF(K40=0,IF(AND(H40&lt;&gt;"",TODAY()&gt;H40),"Vencida","Pendiente"),IF(K40&lt;J40,"Parcial","Completa")))</f>
        <v/>
      </c>
      <c r="Z40" s="16"/>
      <c r="AA40" s="13"/>
      <c r="AB40" s="14" t="str">
        <f aca="false">IF(W40="","Sin factura",IF(ABS(X40)&lt;=0.01,"OK","Revisar"))</f>
        <v>Sin factura</v>
      </c>
      <c r="AC40" s="13"/>
      <c r="AD40" s="14" t="str">
        <f aca="false">IF(A40="","",IF(L40="N","Producto no conforme",IF(M40="N","Falta registro sanitario",IF(OR(Y40="Parcial",Y40="Vencida"),IF(Z40="","Reprogramar recepción","Reprogramada "&amp;TEXT(Z40,"dd/mm")),IF(Y40="Pendiente","En espera",IF(U40="N","Completar documentos",IF(AB40="Revisar","Revisar importe facturado",IF(AC40&lt;&gt;"S","Registrar en Kontrollers","OK"))))))))</f>
        <v/>
      </c>
      <c r="AE40" s="13"/>
    </row>
    <row r="41" customFormat="false" ht="15" hidden="false" customHeight="false" outlineLevel="0" collapsed="false">
      <c r="A41" s="13"/>
      <c r="B41" s="16"/>
      <c r="C41" s="13"/>
      <c r="D41" s="13"/>
      <c r="E41" s="13"/>
      <c r="F41" s="13"/>
      <c r="G41" s="18"/>
      <c r="H41" s="16"/>
      <c r="I41" s="16"/>
      <c r="J41" s="17"/>
      <c r="K41" s="17"/>
      <c r="L41" s="13"/>
      <c r="M41" s="13"/>
      <c r="N41" s="13"/>
      <c r="O41" s="13"/>
      <c r="P41" s="13"/>
      <c r="Q41" s="14" t="str">
        <f aca="false">IF(B41="","",MONTH(B41))</f>
        <v/>
      </c>
      <c r="R41" s="20" t="str">
        <f aca="false">IF(OR(J41="",J41=0),"",MIN(1,K41/J41))</f>
        <v/>
      </c>
      <c r="S41" s="21" t="str">
        <f aca="true">IF(H41="","",IF(I41="",MAX(0,TODAY()-H41),MAX(0,I41-H41)))</f>
        <v/>
      </c>
      <c r="T41" s="14" t="str">
        <f aca="false">IF(OR(H41="",I41=""),"",IF(I41&lt;=H41,"S","N"))</f>
        <v/>
      </c>
      <c r="U41" s="14" t="str">
        <f aca="false">IF(A41="","",IF(AND(N41="S",O41="S",P41="S"),"S","N"))</f>
        <v/>
      </c>
      <c r="V41" s="13"/>
      <c r="W41" s="18"/>
      <c r="X41" s="19" t="str">
        <f aca="false">IF(W41="","",W41-G41)</f>
        <v/>
      </c>
      <c r="Y41" s="14" t="str">
        <f aca="true">IF(A41="","",IF(K41=0,IF(AND(H41&lt;&gt;"",TODAY()&gt;H41),"Vencida","Pendiente"),IF(K41&lt;J41,"Parcial","Completa")))</f>
        <v/>
      </c>
      <c r="Z41" s="16"/>
      <c r="AA41" s="13"/>
      <c r="AB41" s="14" t="str">
        <f aca="false">IF(W41="","Sin factura",IF(ABS(X41)&lt;=0.01,"OK","Revisar"))</f>
        <v>Sin factura</v>
      </c>
      <c r="AC41" s="13"/>
      <c r="AD41" s="14" t="str">
        <f aca="false">IF(A41="","",IF(L41="N","Producto no conforme",IF(M41="N","Falta registro sanitario",IF(OR(Y41="Parcial",Y41="Vencida"),IF(Z41="","Reprogramar recepción","Reprogramada "&amp;TEXT(Z41,"dd/mm")),IF(Y41="Pendiente","En espera",IF(U41="N","Completar documentos",IF(AB41="Revisar","Revisar importe facturado",IF(AC41&lt;&gt;"S","Registrar en Kontrollers","OK"))))))))</f>
        <v/>
      </c>
      <c r="AE41" s="13"/>
    </row>
    <row r="42" customFormat="false" ht="15" hidden="false" customHeight="false" outlineLevel="0" collapsed="false">
      <c r="A42" s="13"/>
      <c r="B42" s="16"/>
      <c r="C42" s="13"/>
      <c r="D42" s="13"/>
      <c r="E42" s="13"/>
      <c r="F42" s="13"/>
      <c r="G42" s="18"/>
      <c r="H42" s="16"/>
      <c r="I42" s="16"/>
      <c r="J42" s="17"/>
      <c r="K42" s="17"/>
      <c r="L42" s="13"/>
      <c r="M42" s="13"/>
      <c r="N42" s="13"/>
      <c r="O42" s="13"/>
      <c r="P42" s="13"/>
      <c r="Q42" s="14" t="str">
        <f aca="false">IF(B42="","",MONTH(B42))</f>
        <v/>
      </c>
      <c r="R42" s="20" t="str">
        <f aca="false">IF(OR(J42="",J42=0),"",MIN(1,K42/J42))</f>
        <v/>
      </c>
      <c r="S42" s="21" t="str">
        <f aca="true">IF(H42="","",IF(I42="",MAX(0,TODAY()-H42),MAX(0,I42-H42)))</f>
        <v/>
      </c>
      <c r="T42" s="14" t="str">
        <f aca="false">IF(OR(H42="",I42=""),"",IF(I42&lt;=H42,"S","N"))</f>
        <v/>
      </c>
      <c r="U42" s="14" t="str">
        <f aca="false">IF(A42="","",IF(AND(N42="S",O42="S",P42="S"),"S","N"))</f>
        <v/>
      </c>
      <c r="V42" s="13"/>
      <c r="W42" s="18"/>
      <c r="X42" s="19" t="str">
        <f aca="false">IF(W42="","",W42-G42)</f>
        <v/>
      </c>
      <c r="Y42" s="14" t="str">
        <f aca="true">IF(A42="","",IF(K42=0,IF(AND(H42&lt;&gt;"",TODAY()&gt;H42),"Vencida","Pendiente"),IF(K42&lt;J42,"Parcial","Completa")))</f>
        <v/>
      </c>
      <c r="Z42" s="16"/>
      <c r="AA42" s="13"/>
      <c r="AB42" s="14" t="str">
        <f aca="false">IF(W42="","Sin factura",IF(ABS(X42)&lt;=0.01,"OK","Revisar"))</f>
        <v>Sin factura</v>
      </c>
      <c r="AC42" s="13"/>
      <c r="AD42" s="14" t="str">
        <f aca="false">IF(A42="","",IF(L42="N","Producto no conforme",IF(M42="N","Falta registro sanitario",IF(OR(Y42="Parcial",Y42="Vencida"),IF(Z42="","Reprogramar recepción","Reprogramada "&amp;TEXT(Z42,"dd/mm")),IF(Y42="Pendiente","En espera",IF(U42="N","Completar documentos",IF(AB42="Revisar","Revisar importe facturado",IF(AC42&lt;&gt;"S","Registrar en Kontrollers","OK"))))))))</f>
        <v/>
      </c>
      <c r="AE42" s="13"/>
    </row>
    <row r="43" customFormat="false" ht="15" hidden="false" customHeight="false" outlineLevel="0" collapsed="false">
      <c r="A43" s="13"/>
      <c r="B43" s="16"/>
      <c r="C43" s="13"/>
      <c r="D43" s="13"/>
      <c r="E43" s="13"/>
      <c r="F43" s="13"/>
      <c r="G43" s="18"/>
      <c r="H43" s="16"/>
      <c r="I43" s="16"/>
      <c r="J43" s="17"/>
      <c r="K43" s="17"/>
      <c r="L43" s="13"/>
      <c r="M43" s="13"/>
      <c r="N43" s="13"/>
      <c r="O43" s="13"/>
      <c r="P43" s="13"/>
      <c r="Q43" s="14" t="str">
        <f aca="false">IF(B43="","",MONTH(B43))</f>
        <v/>
      </c>
      <c r="R43" s="20" t="str">
        <f aca="false">IF(OR(J43="",J43=0),"",MIN(1,K43/J43))</f>
        <v/>
      </c>
      <c r="S43" s="21" t="str">
        <f aca="true">IF(H43="","",IF(I43="",MAX(0,TODAY()-H43),MAX(0,I43-H43)))</f>
        <v/>
      </c>
      <c r="T43" s="14" t="str">
        <f aca="false">IF(OR(H43="",I43=""),"",IF(I43&lt;=H43,"S","N"))</f>
        <v/>
      </c>
      <c r="U43" s="14" t="str">
        <f aca="false">IF(A43="","",IF(AND(N43="S",O43="S",P43="S"),"S","N"))</f>
        <v/>
      </c>
      <c r="V43" s="13"/>
      <c r="W43" s="18"/>
      <c r="X43" s="19" t="str">
        <f aca="false">IF(W43="","",W43-G43)</f>
        <v/>
      </c>
      <c r="Y43" s="14" t="str">
        <f aca="true">IF(A43="","",IF(K43=0,IF(AND(H43&lt;&gt;"",TODAY()&gt;H43),"Vencida","Pendiente"),IF(K43&lt;J43,"Parcial","Completa")))</f>
        <v/>
      </c>
      <c r="Z43" s="16"/>
      <c r="AA43" s="13"/>
      <c r="AB43" s="14" t="str">
        <f aca="false">IF(W43="","Sin factura",IF(ABS(X43)&lt;=0.01,"OK","Revisar"))</f>
        <v>Sin factura</v>
      </c>
      <c r="AC43" s="13"/>
      <c r="AD43" s="14" t="str">
        <f aca="false">IF(A43="","",IF(L43="N","Producto no conforme",IF(M43="N","Falta registro sanitario",IF(OR(Y43="Parcial",Y43="Vencida"),IF(Z43="","Reprogramar recepción","Reprogramada "&amp;TEXT(Z43,"dd/mm")),IF(Y43="Pendiente","En espera",IF(U43="N","Completar documentos",IF(AB43="Revisar","Revisar importe facturado",IF(AC43&lt;&gt;"S","Registrar en Kontrollers","OK"))))))))</f>
        <v/>
      </c>
      <c r="AE43" s="13"/>
    </row>
    <row r="44" customFormat="false" ht="15" hidden="false" customHeight="false" outlineLevel="0" collapsed="false">
      <c r="A44" s="13"/>
      <c r="B44" s="16"/>
      <c r="C44" s="13"/>
      <c r="D44" s="13"/>
      <c r="E44" s="13"/>
      <c r="F44" s="13"/>
      <c r="G44" s="18"/>
      <c r="H44" s="16"/>
      <c r="I44" s="16"/>
      <c r="J44" s="17"/>
      <c r="K44" s="17"/>
      <c r="L44" s="13"/>
      <c r="M44" s="13"/>
      <c r="N44" s="13"/>
      <c r="O44" s="13"/>
      <c r="P44" s="13"/>
      <c r="Q44" s="14" t="str">
        <f aca="false">IF(B44="","",MONTH(B44))</f>
        <v/>
      </c>
      <c r="R44" s="20" t="str">
        <f aca="false">IF(OR(J44="",J44=0),"",MIN(1,K44/J44))</f>
        <v/>
      </c>
      <c r="S44" s="21" t="str">
        <f aca="true">IF(H44="","",IF(I44="",MAX(0,TODAY()-H44),MAX(0,I44-H44)))</f>
        <v/>
      </c>
      <c r="T44" s="14" t="str">
        <f aca="false">IF(OR(H44="",I44=""),"",IF(I44&lt;=H44,"S","N"))</f>
        <v/>
      </c>
      <c r="U44" s="14" t="str">
        <f aca="false">IF(A44="","",IF(AND(N44="S",O44="S",P44="S"),"S","N"))</f>
        <v/>
      </c>
      <c r="V44" s="13"/>
      <c r="W44" s="18"/>
      <c r="X44" s="19" t="str">
        <f aca="false">IF(W44="","",W44-G44)</f>
        <v/>
      </c>
      <c r="Y44" s="14" t="str">
        <f aca="true">IF(A44="","",IF(K44=0,IF(AND(H44&lt;&gt;"",TODAY()&gt;H44),"Vencida","Pendiente"),IF(K44&lt;J44,"Parcial","Completa")))</f>
        <v/>
      </c>
      <c r="Z44" s="16"/>
      <c r="AA44" s="13"/>
      <c r="AB44" s="14" t="str">
        <f aca="false">IF(W44="","Sin factura",IF(ABS(X44)&lt;=0.01,"OK","Revisar"))</f>
        <v>Sin factura</v>
      </c>
      <c r="AC44" s="13"/>
      <c r="AD44" s="14" t="str">
        <f aca="false">IF(A44="","",IF(L44="N","Producto no conforme",IF(M44="N","Falta registro sanitario",IF(OR(Y44="Parcial",Y44="Vencida"),IF(Z44="","Reprogramar recepción","Reprogramada "&amp;TEXT(Z44,"dd/mm")),IF(Y44="Pendiente","En espera",IF(U44="N","Completar documentos",IF(AB44="Revisar","Revisar importe facturado",IF(AC44&lt;&gt;"S","Registrar en Kontrollers","OK"))))))))</f>
        <v/>
      </c>
      <c r="AE44" s="13"/>
    </row>
    <row r="45" customFormat="false" ht="15" hidden="false" customHeight="false" outlineLevel="0" collapsed="false">
      <c r="A45" s="13"/>
      <c r="B45" s="16"/>
      <c r="C45" s="13"/>
      <c r="D45" s="13"/>
      <c r="E45" s="13"/>
      <c r="F45" s="13"/>
      <c r="G45" s="18"/>
      <c r="H45" s="16"/>
      <c r="I45" s="16"/>
      <c r="J45" s="17"/>
      <c r="K45" s="17"/>
      <c r="L45" s="13"/>
      <c r="M45" s="13"/>
      <c r="N45" s="13"/>
      <c r="O45" s="13"/>
      <c r="P45" s="13"/>
      <c r="Q45" s="14" t="str">
        <f aca="false">IF(B45="","",MONTH(B45))</f>
        <v/>
      </c>
      <c r="R45" s="20" t="str">
        <f aca="false">IF(OR(J45="",J45=0),"",MIN(1,K45/J45))</f>
        <v/>
      </c>
      <c r="S45" s="21" t="str">
        <f aca="true">IF(H45="","",IF(I45="",MAX(0,TODAY()-H45),MAX(0,I45-H45)))</f>
        <v/>
      </c>
      <c r="T45" s="14" t="str">
        <f aca="false">IF(OR(H45="",I45=""),"",IF(I45&lt;=H45,"S","N"))</f>
        <v/>
      </c>
      <c r="U45" s="14" t="str">
        <f aca="false">IF(A45="","",IF(AND(N45="S",O45="S",P45="S"),"S","N"))</f>
        <v/>
      </c>
      <c r="V45" s="13"/>
      <c r="W45" s="18"/>
      <c r="X45" s="19" t="str">
        <f aca="false">IF(W45="","",W45-G45)</f>
        <v/>
      </c>
      <c r="Y45" s="14" t="str">
        <f aca="true">IF(A45="","",IF(K45=0,IF(AND(H45&lt;&gt;"",TODAY()&gt;H45),"Vencida","Pendiente"),IF(K45&lt;J45,"Parcial","Completa")))</f>
        <v/>
      </c>
      <c r="Z45" s="16"/>
      <c r="AA45" s="13"/>
      <c r="AB45" s="14" t="str">
        <f aca="false">IF(W45="","Sin factura",IF(ABS(X45)&lt;=0.01,"OK","Revisar"))</f>
        <v>Sin factura</v>
      </c>
      <c r="AC45" s="13"/>
      <c r="AD45" s="14" t="str">
        <f aca="false">IF(A45="","",IF(L45="N","Producto no conforme",IF(M45="N","Falta registro sanitario",IF(OR(Y45="Parcial",Y45="Vencida"),IF(Z45="","Reprogramar recepción","Reprogramada "&amp;TEXT(Z45,"dd/mm")),IF(Y45="Pendiente","En espera",IF(U45="N","Completar documentos",IF(AB45="Revisar","Revisar importe facturado",IF(AC45&lt;&gt;"S","Registrar en Kontrollers","OK"))))))))</f>
        <v/>
      </c>
      <c r="AE45" s="13"/>
    </row>
    <row r="46" customFormat="false" ht="15" hidden="false" customHeight="false" outlineLevel="0" collapsed="false">
      <c r="A46" s="13"/>
      <c r="B46" s="16"/>
      <c r="C46" s="13"/>
      <c r="D46" s="13"/>
      <c r="E46" s="13"/>
      <c r="F46" s="13"/>
      <c r="G46" s="18"/>
      <c r="H46" s="16"/>
      <c r="I46" s="16"/>
      <c r="J46" s="17"/>
      <c r="K46" s="17"/>
      <c r="L46" s="13"/>
      <c r="M46" s="13"/>
      <c r="N46" s="13"/>
      <c r="O46" s="13"/>
      <c r="P46" s="13"/>
      <c r="Q46" s="14" t="str">
        <f aca="false">IF(B46="","",MONTH(B46))</f>
        <v/>
      </c>
      <c r="R46" s="20" t="str">
        <f aca="false">IF(OR(J46="",J46=0),"",MIN(1,K46/J46))</f>
        <v/>
      </c>
      <c r="S46" s="21" t="str">
        <f aca="true">IF(H46="","",IF(I46="",MAX(0,TODAY()-H46),MAX(0,I46-H46)))</f>
        <v/>
      </c>
      <c r="T46" s="14" t="str">
        <f aca="false">IF(OR(H46="",I46=""),"",IF(I46&lt;=H46,"S","N"))</f>
        <v/>
      </c>
      <c r="U46" s="14" t="str">
        <f aca="false">IF(A46="","",IF(AND(N46="S",O46="S",P46="S"),"S","N"))</f>
        <v/>
      </c>
      <c r="V46" s="13"/>
      <c r="W46" s="18"/>
      <c r="X46" s="19" t="str">
        <f aca="false">IF(W46="","",W46-G46)</f>
        <v/>
      </c>
      <c r="Y46" s="14" t="str">
        <f aca="true">IF(A46="","",IF(K46=0,IF(AND(H46&lt;&gt;"",TODAY()&gt;H46),"Vencida","Pendiente"),IF(K46&lt;J46,"Parcial","Completa")))</f>
        <v/>
      </c>
      <c r="Z46" s="16"/>
      <c r="AA46" s="13"/>
      <c r="AB46" s="14" t="str">
        <f aca="false">IF(W46="","Sin factura",IF(ABS(X46)&lt;=0.01,"OK","Revisar"))</f>
        <v>Sin factura</v>
      </c>
      <c r="AC46" s="13"/>
      <c r="AD46" s="14" t="str">
        <f aca="false">IF(A46="","",IF(L46="N","Producto no conforme",IF(M46="N","Falta registro sanitario",IF(OR(Y46="Parcial",Y46="Vencida"),IF(Z46="","Reprogramar recepción","Reprogramada "&amp;TEXT(Z46,"dd/mm")),IF(Y46="Pendiente","En espera",IF(U46="N","Completar documentos",IF(AB46="Revisar","Revisar importe facturado",IF(AC46&lt;&gt;"S","Registrar en Kontrollers","OK"))))))))</f>
        <v/>
      </c>
      <c r="AE46" s="13"/>
    </row>
    <row r="47" customFormat="false" ht="15" hidden="false" customHeight="false" outlineLevel="0" collapsed="false">
      <c r="A47" s="13"/>
      <c r="B47" s="16"/>
      <c r="C47" s="13"/>
      <c r="D47" s="13"/>
      <c r="E47" s="13"/>
      <c r="F47" s="13"/>
      <c r="G47" s="18"/>
      <c r="H47" s="16"/>
      <c r="I47" s="16"/>
      <c r="J47" s="17"/>
      <c r="K47" s="17"/>
      <c r="L47" s="13"/>
      <c r="M47" s="13"/>
      <c r="N47" s="13"/>
      <c r="O47" s="13"/>
      <c r="P47" s="13"/>
      <c r="Q47" s="14" t="str">
        <f aca="false">IF(B47="","",MONTH(B47))</f>
        <v/>
      </c>
      <c r="R47" s="20" t="str">
        <f aca="false">IF(OR(J47="",J47=0),"",MIN(1,K47/J47))</f>
        <v/>
      </c>
      <c r="S47" s="21" t="str">
        <f aca="true">IF(H47="","",IF(I47="",MAX(0,TODAY()-H47),MAX(0,I47-H47)))</f>
        <v/>
      </c>
      <c r="T47" s="14" t="str">
        <f aca="false">IF(OR(H47="",I47=""),"",IF(I47&lt;=H47,"S","N"))</f>
        <v/>
      </c>
      <c r="U47" s="14" t="str">
        <f aca="false">IF(A47="","",IF(AND(N47="S",O47="S",P47="S"),"S","N"))</f>
        <v/>
      </c>
      <c r="V47" s="13"/>
      <c r="W47" s="18"/>
      <c r="X47" s="19" t="str">
        <f aca="false">IF(W47="","",W47-G47)</f>
        <v/>
      </c>
      <c r="Y47" s="14" t="str">
        <f aca="true">IF(A47="","",IF(K47=0,IF(AND(H47&lt;&gt;"",TODAY()&gt;H47),"Vencida","Pendiente"),IF(K47&lt;J47,"Parcial","Completa")))</f>
        <v/>
      </c>
      <c r="Z47" s="16"/>
      <c r="AA47" s="13"/>
      <c r="AB47" s="14" t="str">
        <f aca="false">IF(W47="","Sin factura",IF(ABS(X47)&lt;=0.01,"OK","Revisar"))</f>
        <v>Sin factura</v>
      </c>
      <c r="AC47" s="13"/>
      <c r="AD47" s="14" t="str">
        <f aca="false">IF(A47="","",IF(L47="N","Producto no conforme",IF(M47="N","Falta registro sanitario",IF(OR(Y47="Parcial",Y47="Vencida"),IF(Z47="","Reprogramar recepción","Reprogramada "&amp;TEXT(Z47,"dd/mm")),IF(Y47="Pendiente","En espera",IF(U47="N","Completar documentos",IF(AB47="Revisar","Revisar importe facturado",IF(AC47&lt;&gt;"S","Registrar en Kontrollers","OK"))))))))</f>
        <v/>
      </c>
      <c r="AE47" s="13"/>
    </row>
    <row r="48" customFormat="false" ht="15" hidden="false" customHeight="false" outlineLevel="0" collapsed="false">
      <c r="A48" s="13"/>
      <c r="B48" s="16"/>
      <c r="C48" s="13"/>
      <c r="D48" s="13"/>
      <c r="E48" s="13"/>
      <c r="F48" s="13"/>
      <c r="G48" s="18"/>
      <c r="H48" s="16"/>
      <c r="I48" s="16"/>
      <c r="J48" s="17"/>
      <c r="K48" s="17"/>
      <c r="L48" s="13"/>
      <c r="M48" s="13"/>
      <c r="N48" s="13"/>
      <c r="O48" s="13"/>
      <c r="P48" s="13"/>
      <c r="Q48" s="14" t="str">
        <f aca="false">IF(B48="","",MONTH(B48))</f>
        <v/>
      </c>
      <c r="R48" s="20" t="str">
        <f aca="false">IF(OR(J48="",J48=0),"",MIN(1,K48/J48))</f>
        <v/>
      </c>
      <c r="S48" s="21" t="str">
        <f aca="true">IF(H48="","",IF(I48="",MAX(0,TODAY()-H48),MAX(0,I48-H48)))</f>
        <v/>
      </c>
      <c r="T48" s="14" t="str">
        <f aca="false">IF(OR(H48="",I48=""),"",IF(I48&lt;=H48,"S","N"))</f>
        <v/>
      </c>
      <c r="U48" s="14" t="str">
        <f aca="false">IF(A48="","",IF(AND(N48="S",O48="S",P48="S"),"S","N"))</f>
        <v/>
      </c>
      <c r="V48" s="13"/>
      <c r="W48" s="18"/>
      <c r="X48" s="19" t="str">
        <f aca="false">IF(W48="","",W48-G48)</f>
        <v/>
      </c>
      <c r="Y48" s="14" t="str">
        <f aca="true">IF(A48="","",IF(K48=0,IF(AND(H48&lt;&gt;"",TODAY()&gt;H48),"Vencida","Pendiente"),IF(K48&lt;J48,"Parcial","Completa")))</f>
        <v/>
      </c>
      <c r="Z48" s="16"/>
      <c r="AA48" s="13"/>
      <c r="AB48" s="14" t="str">
        <f aca="false">IF(W48="","Sin factura",IF(ABS(X48)&lt;=0.01,"OK","Revisar"))</f>
        <v>Sin factura</v>
      </c>
      <c r="AC48" s="13"/>
      <c r="AD48" s="14" t="str">
        <f aca="false">IF(A48="","",IF(L48="N","Producto no conforme",IF(M48="N","Falta registro sanitario",IF(OR(Y48="Parcial",Y48="Vencida"),IF(Z48="","Reprogramar recepción","Reprogramada "&amp;TEXT(Z48,"dd/mm")),IF(Y48="Pendiente","En espera",IF(U48="N","Completar documentos",IF(AB48="Revisar","Revisar importe facturado",IF(AC48&lt;&gt;"S","Registrar en Kontrollers","OK"))))))))</f>
        <v/>
      </c>
      <c r="AE48" s="13"/>
    </row>
    <row r="49" customFormat="false" ht="15" hidden="false" customHeight="false" outlineLevel="0" collapsed="false">
      <c r="A49" s="13"/>
      <c r="B49" s="16"/>
      <c r="C49" s="13"/>
      <c r="D49" s="13"/>
      <c r="E49" s="13"/>
      <c r="F49" s="13"/>
      <c r="G49" s="18"/>
      <c r="H49" s="16"/>
      <c r="I49" s="16"/>
      <c r="J49" s="17"/>
      <c r="K49" s="17"/>
      <c r="L49" s="13"/>
      <c r="M49" s="13"/>
      <c r="N49" s="13"/>
      <c r="O49" s="13"/>
      <c r="P49" s="13"/>
      <c r="Q49" s="14" t="str">
        <f aca="false">IF(B49="","",MONTH(B49))</f>
        <v/>
      </c>
      <c r="R49" s="20" t="str">
        <f aca="false">IF(OR(J49="",J49=0),"",MIN(1,K49/J49))</f>
        <v/>
      </c>
      <c r="S49" s="21" t="str">
        <f aca="true">IF(H49="","",IF(I49="",MAX(0,TODAY()-H49),MAX(0,I49-H49)))</f>
        <v/>
      </c>
      <c r="T49" s="14" t="str">
        <f aca="false">IF(OR(H49="",I49=""),"",IF(I49&lt;=H49,"S","N"))</f>
        <v/>
      </c>
      <c r="U49" s="14" t="str">
        <f aca="false">IF(A49="","",IF(AND(N49="S",O49="S",P49="S"),"S","N"))</f>
        <v/>
      </c>
      <c r="V49" s="13"/>
      <c r="W49" s="18"/>
      <c r="X49" s="19" t="str">
        <f aca="false">IF(W49="","",W49-G49)</f>
        <v/>
      </c>
      <c r="Y49" s="14" t="str">
        <f aca="true">IF(A49="","",IF(K49=0,IF(AND(H49&lt;&gt;"",TODAY()&gt;H49),"Vencida","Pendiente"),IF(K49&lt;J49,"Parcial","Completa")))</f>
        <v/>
      </c>
      <c r="Z49" s="16"/>
      <c r="AA49" s="13"/>
      <c r="AB49" s="14" t="str">
        <f aca="false">IF(W49="","Sin factura",IF(ABS(X49)&lt;=0.01,"OK","Revisar"))</f>
        <v>Sin factura</v>
      </c>
      <c r="AC49" s="13"/>
      <c r="AD49" s="14" t="str">
        <f aca="false">IF(A49="","",IF(L49="N","Producto no conforme",IF(M49="N","Falta registro sanitario",IF(OR(Y49="Parcial",Y49="Vencida"),IF(Z49="","Reprogramar recepción","Reprogramada "&amp;TEXT(Z49,"dd/mm")),IF(Y49="Pendiente","En espera",IF(U49="N","Completar documentos",IF(AB49="Revisar","Revisar importe facturado",IF(AC49&lt;&gt;"S","Registrar en Kontrollers","OK"))))))))</f>
        <v/>
      </c>
      <c r="AE49" s="13"/>
    </row>
    <row r="50" customFormat="false" ht="15" hidden="false" customHeight="false" outlineLevel="0" collapsed="false">
      <c r="A50" s="13"/>
      <c r="B50" s="16"/>
      <c r="C50" s="13"/>
      <c r="D50" s="13"/>
      <c r="E50" s="13"/>
      <c r="F50" s="13"/>
      <c r="G50" s="18"/>
      <c r="H50" s="16"/>
      <c r="I50" s="16"/>
      <c r="J50" s="17"/>
      <c r="K50" s="17"/>
      <c r="L50" s="13"/>
      <c r="M50" s="13"/>
      <c r="N50" s="13"/>
      <c r="O50" s="13"/>
      <c r="P50" s="13"/>
      <c r="Q50" s="14" t="str">
        <f aca="false">IF(B50="","",MONTH(B50))</f>
        <v/>
      </c>
      <c r="R50" s="20" t="str">
        <f aca="false">IF(OR(J50="",J50=0),"",MIN(1,K50/J50))</f>
        <v/>
      </c>
      <c r="S50" s="21" t="str">
        <f aca="true">IF(H50="","",IF(I50="",MAX(0,TODAY()-H50),MAX(0,I50-H50)))</f>
        <v/>
      </c>
      <c r="T50" s="14" t="str">
        <f aca="false">IF(OR(H50="",I50=""),"",IF(I50&lt;=H50,"S","N"))</f>
        <v/>
      </c>
      <c r="U50" s="14" t="str">
        <f aca="false">IF(A50="","",IF(AND(N50="S",O50="S",P50="S"),"S","N"))</f>
        <v/>
      </c>
      <c r="V50" s="13"/>
      <c r="W50" s="18"/>
      <c r="X50" s="19" t="str">
        <f aca="false">IF(W50="","",W50-G50)</f>
        <v/>
      </c>
      <c r="Y50" s="14" t="str">
        <f aca="true">IF(A50="","",IF(K50=0,IF(AND(H50&lt;&gt;"",TODAY()&gt;H50),"Vencida","Pendiente"),IF(K50&lt;J50,"Parcial","Completa")))</f>
        <v/>
      </c>
      <c r="Z50" s="16"/>
      <c r="AA50" s="13"/>
      <c r="AB50" s="14" t="str">
        <f aca="false">IF(W50="","Sin factura",IF(ABS(X50)&lt;=0.01,"OK","Revisar"))</f>
        <v>Sin factura</v>
      </c>
      <c r="AC50" s="13"/>
      <c r="AD50" s="14" t="str">
        <f aca="false">IF(A50="","",IF(L50="N","Producto no conforme",IF(M50="N","Falta registro sanitario",IF(OR(Y50="Parcial",Y50="Vencida"),IF(Z50="","Reprogramar recepción","Reprogramada "&amp;TEXT(Z50,"dd/mm")),IF(Y50="Pendiente","En espera",IF(U50="N","Completar documentos",IF(AB50="Revisar","Revisar importe facturado",IF(AC50&lt;&gt;"S","Registrar en Kontrollers","OK"))))))))</f>
        <v/>
      </c>
      <c r="AE50" s="13"/>
    </row>
    <row r="51" customFormat="false" ht="15" hidden="false" customHeight="false" outlineLevel="0" collapsed="false">
      <c r="A51" s="13"/>
      <c r="B51" s="16"/>
      <c r="C51" s="13"/>
      <c r="D51" s="13"/>
      <c r="E51" s="13"/>
      <c r="F51" s="13"/>
      <c r="G51" s="18"/>
      <c r="H51" s="16"/>
      <c r="I51" s="16"/>
      <c r="J51" s="17"/>
      <c r="K51" s="17"/>
      <c r="L51" s="13"/>
      <c r="M51" s="13"/>
      <c r="N51" s="13"/>
      <c r="O51" s="13"/>
      <c r="P51" s="13"/>
      <c r="Q51" s="14" t="str">
        <f aca="false">IF(B51="","",MONTH(B51))</f>
        <v/>
      </c>
      <c r="R51" s="20" t="str">
        <f aca="false">IF(OR(J51="",J51=0),"",MIN(1,K51/J51))</f>
        <v/>
      </c>
      <c r="S51" s="21" t="str">
        <f aca="true">IF(H51="","",IF(I51="",MAX(0,TODAY()-H51),MAX(0,I51-H51)))</f>
        <v/>
      </c>
      <c r="T51" s="14" t="str">
        <f aca="false">IF(OR(H51="",I51=""),"",IF(I51&lt;=H51,"S","N"))</f>
        <v/>
      </c>
      <c r="U51" s="14" t="str">
        <f aca="false">IF(A51="","",IF(AND(N51="S",O51="S",P51="S"),"S","N"))</f>
        <v/>
      </c>
      <c r="V51" s="13"/>
      <c r="W51" s="18"/>
      <c r="X51" s="19" t="str">
        <f aca="false">IF(W51="","",W51-G51)</f>
        <v/>
      </c>
      <c r="Y51" s="14" t="str">
        <f aca="true">IF(A51="","",IF(K51=0,IF(AND(H51&lt;&gt;"",TODAY()&gt;H51),"Vencida","Pendiente"),IF(K51&lt;J51,"Parcial","Completa")))</f>
        <v/>
      </c>
      <c r="Z51" s="16"/>
      <c r="AA51" s="13"/>
      <c r="AB51" s="14" t="str">
        <f aca="false">IF(W51="","Sin factura",IF(ABS(X51)&lt;=0.01,"OK","Revisar"))</f>
        <v>Sin factura</v>
      </c>
      <c r="AC51" s="13"/>
      <c r="AD51" s="14" t="str">
        <f aca="false">IF(A51="","",IF(L51="N","Producto no conforme",IF(M51="N","Falta registro sanitario",IF(OR(Y51="Parcial",Y51="Vencida"),IF(Z51="","Reprogramar recepción","Reprogramada "&amp;TEXT(Z51,"dd/mm")),IF(Y51="Pendiente","En espera",IF(U51="N","Completar documentos",IF(AB51="Revisar","Revisar importe facturado",IF(AC51&lt;&gt;"S","Registrar en Kontrollers","OK"))))))))</f>
        <v/>
      </c>
      <c r="AE51" s="13"/>
    </row>
    <row r="52" customFormat="false" ht="15" hidden="false" customHeight="false" outlineLevel="0" collapsed="false">
      <c r="A52" s="13"/>
      <c r="B52" s="16"/>
      <c r="C52" s="13"/>
      <c r="D52" s="13"/>
      <c r="E52" s="13"/>
      <c r="F52" s="13"/>
      <c r="G52" s="18"/>
      <c r="H52" s="16"/>
      <c r="I52" s="16"/>
      <c r="J52" s="17"/>
      <c r="K52" s="17"/>
      <c r="L52" s="13"/>
      <c r="M52" s="13"/>
      <c r="N52" s="13"/>
      <c r="O52" s="13"/>
      <c r="P52" s="13"/>
      <c r="Q52" s="14" t="str">
        <f aca="false">IF(B52="","",MONTH(B52))</f>
        <v/>
      </c>
      <c r="R52" s="20" t="str">
        <f aca="false">IF(OR(J52="",J52=0),"",MIN(1,K52/J52))</f>
        <v/>
      </c>
      <c r="S52" s="21" t="str">
        <f aca="true">IF(H52="","",IF(I52="",MAX(0,TODAY()-H52),MAX(0,I52-H52)))</f>
        <v/>
      </c>
      <c r="T52" s="14" t="str">
        <f aca="false">IF(OR(H52="",I52=""),"",IF(I52&lt;=H52,"S","N"))</f>
        <v/>
      </c>
      <c r="U52" s="14" t="str">
        <f aca="false">IF(A52="","",IF(AND(N52="S",O52="S",P52="S"),"S","N"))</f>
        <v/>
      </c>
      <c r="V52" s="13"/>
      <c r="W52" s="18"/>
      <c r="X52" s="19" t="str">
        <f aca="false">IF(W52="","",W52-G52)</f>
        <v/>
      </c>
      <c r="Y52" s="14" t="str">
        <f aca="true">IF(A52="","",IF(K52=0,IF(AND(H52&lt;&gt;"",TODAY()&gt;H52),"Vencida","Pendiente"),IF(K52&lt;J52,"Parcial","Completa")))</f>
        <v/>
      </c>
      <c r="Z52" s="16"/>
      <c r="AA52" s="13"/>
      <c r="AB52" s="14" t="str">
        <f aca="false">IF(W52="","Sin factura",IF(ABS(X52)&lt;=0.01,"OK","Revisar"))</f>
        <v>Sin factura</v>
      </c>
      <c r="AC52" s="13"/>
      <c r="AD52" s="14" t="str">
        <f aca="false">IF(A52="","",IF(L52="N","Producto no conforme",IF(M52="N","Falta registro sanitario",IF(OR(Y52="Parcial",Y52="Vencida"),IF(Z52="","Reprogramar recepción","Reprogramada "&amp;TEXT(Z52,"dd/mm")),IF(Y52="Pendiente","En espera",IF(U52="N","Completar documentos",IF(AB52="Revisar","Revisar importe facturado",IF(AC52&lt;&gt;"S","Registrar en Kontrollers","OK"))))))))</f>
        <v/>
      </c>
      <c r="AE52" s="13"/>
    </row>
    <row r="53" customFormat="false" ht="15" hidden="false" customHeight="false" outlineLevel="0" collapsed="false">
      <c r="A53" s="13"/>
      <c r="B53" s="16"/>
      <c r="C53" s="13"/>
      <c r="D53" s="13"/>
      <c r="E53" s="13"/>
      <c r="F53" s="13"/>
      <c r="G53" s="18"/>
      <c r="H53" s="16"/>
      <c r="I53" s="16"/>
      <c r="J53" s="17"/>
      <c r="K53" s="17"/>
      <c r="L53" s="13"/>
      <c r="M53" s="13"/>
      <c r="N53" s="13"/>
      <c r="O53" s="13"/>
      <c r="P53" s="13"/>
      <c r="Q53" s="14" t="str">
        <f aca="false">IF(B53="","",MONTH(B53))</f>
        <v/>
      </c>
      <c r="R53" s="20" t="str">
        <f aca="false">IF(OR(J53="",J53=0),"",MIN(1,K53/J53))</f>
        <v/>
      </c>
      <c r="S53" s="21" t="str">
        <f aca="true">IF(H53="","",IF(I53="",MAX(0,TODAY()-H53),MAX(0,I53-H53)))</f>
        <v/>
      </c>
      <c r="T53" s="14" t="str">
        <f aca="false">IF(OR(H53="",I53=""),"",IF(I53&lt;=H53,"S","N"))</f>
        <v/>
      </c>
      <c r="U53" s="14" t="str">
        <f aca="false">IF(A53="","",IF(AND(N53="S",O53="S",P53="S"),"S","N"))</f>
        <v/>
      </c>
      <c r="V53" s="13"/>
      <c r="W53" s="18"/>
      <c r="X53" s="19" t="str">
        <f aca="false">IF(W53="","",W53-G53)</f>
        <v/>
      </c>
      <c r="Y53" s="14" t="str">
        <f aca="true">IF(A53="","",IF(K53=0,IF(AND(H53&lt;&gt;"",TODAY()&gt;H53),"Vencida","Pendiente"),IF(K53&lt;J53,"Parcial","Completa")))</f>
        <v/>
      </c>
      <c r="Z53" s="16"/>
      <c r="AA53" s="13"/>
      <c r="AB53" s="14" t="str">
        <f aca="false">IF(W53="","Sin factura",IF(ABS(X53)&lt;=0.01,"OK","Revisar"))</f>
        <v>Sin factura</v>
      </c>
      <c r="AC53" s="13"/>
      <c r="AD53" s="14" t="str">
        <f aca="false">IF(A53="","",IF(L53="N","Producto no conforme",IF(M53="N","Falta registro sanitario",IF(OR(Y53="Parcial",Y53="Vencida"),IF(Z53="","Reprogramar recepción","Reprogramada "&amp;TEXT(Z53,"dd/mm")),IF(Y53="Pendiente","En espera",IF(U53="N","Completar documentos",IF(AB53="Revisar","Revisar importe facturado",IF(AC53&lt;&gt;"S","Registrar en Kontrollers","OK"))))))))</f>
        <v/>
      </c>
      <c r="AE53" s="13"/>
    </row>
    <row r="54" customFormat="false" ht="15" hidden="false" customHeight="false" outlineLevel="0" collapsed="false">
      <c r="A54" s="13"/>
      <c r="B54" s="16"/>
      <c r="C54" s="13"/>
      <c r="D54" s="13"/>
      <c r="E54" s="13"/>
      <c r="F54" s="13"/>
      <c r="G54" s="18"/>
      <c r="H54" s="16"/>
      <c r="I54" s="16"/>
      <c r="J54" s="17"/>
      <c r="K54" s="17"/>
      <c r="L54" s="13"/>
      <c r="M54" s="13"/>
      <c r="N54" s="13"/>
      <c r="O54" s="13"/>
      <c r="P54" s="13"/>
      <c r="Q54" s="14" t="str">
        <f aca="false">IF(B54="","",MONTH(B54))</f>
        <v/>
      </c>
      <c r="R54" s="20" t="str">
        <f aca="false">IF(OR(J54="",J54=0),"",MIN(1,K54/J54))</f>
        <v/>
      </c>
      <c r="S54" s="21" t="str">
        <f aca="true">IF(H54="","",IF(I54="",MAX(0,TODAY()-H54),MAX(0,I54-H54)))</f>
        <v/>
      </c>
      <c r="T54" s="14" t="str">
        <f aca="false">IF(OR(H54="",I54=""),"",IF(I54&lt;=H54,"S","N"))</f>
        <v/>
      </c>
      <c r="U54" s="14" t="str">
        <f aca="false">IF(A54="","",IF(AND(N54="S",O54="S",P54="S"),"S","N"))</f>
        <v/>
      </c>
      <c r="V54" s="13"/>
      <c r="W54" s="18"/>
      <c r="X54" s="19" t="str">
        <f aca="false">IF(W54="","",W54-G54)</f>
        <v/>
      </c>
      <c r="Y54" s="14" t="str">
        <f aca="true">IF(A54="","",IF(K54=0,IF(AND(H54&lt;&gt;"",TODAY()&gt;H54),"Vencida","Pendiente"),IF(K54&lt;J54,"Parcial","Completa")))</f>
        <v/>
      </c>
      <c r="Z54" s="16"/>
      <c r="AA54" s="13"/>
      <c r="AB54" s="14" t="str">
        <f aca="false">IF(W54="","Sin factura",IF(ABS(X54)&lt;=0.01,"OK","Revisar"))</f>
        <v>Sin factura</v>
      </c>
      <c r="AC54" s="13"/>
      <c r="AD54" s="14" t="str">
        <f aca="false">IF(A54="","",IF(L54="N","Producto no conforme",IF(M54="N","Falta registro sanitario",IF(OR(Y54="Parcial",Y54="Vencida"),IF(Z54="","Reprogramar recepción","Reprogramada "&amp;TEXT(Z54,"dd/mm")),IF(Y54="Pendiente","En espera",IF(U54="N","Completar documentos",IF(AB54="Revisar","Revisar importe facturado",IF(AC54&lt;&gt;"S","Registrar en Kontrollers","OK"))))))))</f>
        <v/>
      </c>
      <c r="AE54" s="13"/>
    </row>
    <row r="55" customFormat="false" ht="15" hidden="false" customHeight="false" outlineLevel="0" collapsed="false">
      <c r="A55" s="13"/>
      <c r="B55" s="16"/>
      <c r="C55" s="13"/>
      <c r="D55" s="13"/>
      <c r="E55" s="13"/>
      <c r="F55" s="13"/>
      <c r="G55" s="18"/>
      <c r="H55" s="16"/>
      <c r="I55" s="16"/>
      <c r="J55" s="17"/>
      <c r="K55" s="17"/>
      <c r="L55" s="13"/>
      <c r="M55" s="13"/>
      <c r="N55" s="13"/>
      <c r="O55" s="13"/>
      <c r="P55" s="13"/>
      <c r="Q55" s="14" t="str">
        <f aca="false">IF(B55="","",MONTH(B55))</f>
        <v/>
      </c>
      <c r="R55" s="20" t="str">
        <f aca="false">IF(OR(J55="",J55=0),"",MIN(1,K55/J55))</f>
        <v/>
      </c>
      <c r="S55" s="21" t="str">
        <f aca="true">IF(H55="","",IF(I55="",MAX(0,TODAY()-H55),MAX(0,I55-H55)))</f>
        <v/>
      </c>
      <c r="T55" s="14" t="str">
        <f aca="false">IF(OR(H55="",I55=""),"",IF(I55&lt;=H55,"S","N"))</f>
        <v/>
      </c>
      <c r="U55" s="14" t="str">
        <f aca="false">IF(A55="","",IF(AND(N55="S",O55="S",P55="S"),"S","N"))</f>
        <v/>
      </c>
      <c r="V55" s="13"/>
      <c r="W55" s="18"/>
      <c r="X55" s="19" t="str">
        <f aca="false">IF(W55="","",W55-G55)</f>
        <v/>
      </c>
      <c r="Y55" s="14" t="str">
        <f aca="true">IF(A55="","",IF(K55=0,IF(AND(H55&lt;&gt;"",TODAY()&gt;H55),"Vencida","Pendiente"),IF(K55&lt;J55,"Parcial","Completa")))</f>
        <v/>
      </c>
      <c r="Z55" s="16"/>
      <c r="AA55" s="13"/>
      <c r="AB55" s="14" t="str">
        <f aca="false">IF(W55="","Sin factura",IF(ABS(X55)&lt;=0.01,"OK","Revisar"))</f>
        <v>Sin factura</v>
      </c>
      <c r="AC55" s="13"/>
      <c r="AD55" s="14" t="str">
        <f aca="false">IF(A55="","",IF(L55="N","Producto no conforme",IF(M55="N","Falta registro sanitario",IF(OR(Y55="Parcial",Y55="Vencida"),IF(Z55="","Reprogramar recepción","Reprogramada "&amp;TEXT(Z55,"dd/mm")),IF(Y55="Pendiente","En espera",IF(U55="N","Completar documentos",IF(AB55="Revisar","Revisar importe facturado",IF(AC55&lt;&gt;"S","Registrar en Kontrollers","OK"))))))))</f>
        <v/>
      </c>
      <c r="AE55" s="13"/>
    </row>
    <row r="56" customFormat="false" ht="15" hidden="false" customHeight="false" outlineLevel="0" collapsed="false">
      <c r="A56" s="13"/>
      <c r="B56" s="16"/>
      <c r="C56" s="13"/>
      <c r="D56" s="13"/>
      <c r="E56" s="13"/>
      <c r="F56" s="13"/>
      <c r="G56" s="18"/>
      <c r="H56" s="16"/>
      <c r="I56" s="16"/>
      <c r="J56" s="17"/>
      <c r="K56" s="17"/>
      <c r="L56" s="13"/>
      <c r="M56" s="13"/>
      <c r="N56" s="13"/>
      <c r="O56" s="13"/>
      <c r="P56" s="13"/>
      <c r="Q56" s="14" t="str">
        <f aca="false">IF(B56="","",MONTH(B56))</f>
        <v/>
      </c>
      <c r="R56" s="20" t="str">
        <f aca="false">IF(OR(J56="",J56=0),"",MIN(1,K56/J56))</f>
        <v/>
      </c>
      <c r="S56" s="21" t="str">
        <f aca="true">IF(H56="","",IF(I56="",MAX(0,TODAY()-H56),MAX(0,I56-H56)))</f>
        <v/>
      </c>
      <c r="T56" s="14" t="str">
        <f aca="false">IF(OR(H56="",I56=""),"",IF(I56&lt;=H56,"S","N"))</f>
        <v/>
      </c>
      <c r="U56" s="14" t="str">
        <f aca="false">IF(A56="","",IF(AND(N56="S",O56="S",P56="S"),"S","N"))</f>
        <v/>
      </c>
      <c r="V56" s="13"/>
      <c r="W56" s="18"/>
      <c r="X56" s="19" t="str">
        <f aca="false">IF(W56="","",W56-G56)</f>
        <v/>
      </c>
      <c r="Y56" s="14" t="str">
        <f aca="true">IF(A56="","",IF(K56=0,IF(AND(H56&lt;&gt;"",TODAY()&gt;H56),"Vencida","Pendiente"),IF(K56&lt;J56,"Parcial","Completa")))</f>
        <v/>
      </c>
      <c r="Z56" s="16"/>
      <c r="AA56" s="13"/>
      <c r="AB56" s="14" t="str">
        <f aca="false">IF(W56="","Sin factura",IF(ABS(X56)&lt;=0.01,"OK","Revisar"))</f>
        <v>Sin factura</v>
      </c>
      <c r="AC56" s="13"/>
      <c r="AD56" s="14" t="str">
        <f aca="false">IF(A56="","",IF(L56="N","Producto no conforme",IF(M56="N","Falta registro sanitario",IF(OR(Y56="Parcial",Y56="Vencida"),IF(Z56="","Reprogramar recepción","Reprogramada "&amp;TEXT(Z56,"dd/mm")),IF(Y56="Pendiente","En espera",IF(U56="N","Completar documentos",IF(AB56="Revisar","Revisar importe facturado",IF(AC56&lt;&gt;"S","Registrar en Kontrollers","OK"))))))))</f>
        <v/>
      </c>
      <c r="AE56" s="13"/>
    </row>
    <row r="57" customFormat="false" ht="15" hidden="false" customHeight="false" outlineLevel="0" collapsed="false">
      <c r="A57" s="13"/>
      <c r="B57" s="16"/>
      <c r="C57" s="13"/>
      <c r="D57" s="13"/>
      <c r="E57" s="13"/>
      <c r="F57" s="13"/>
      <c r="G57" s="18"/>
      <c r="H57" s="16"/>
      <c r="I57" s="16"/>
      <c r="J57" s="17"/>
      <c r="K57" s="17"/>
      <c r="L57" s="13"/>
      <c r="M57" s="13"/>
      <c r="N57" s="13"/>
      <c r="O57" s="13"/>
      <c r="P57" s="13"/>
      <c r="Q57" s="14" t="str">
        <f aca="false">IF(B57="","",MONTH(B57))</f>
        <v/>
      </c>
      <c r="R57" s="20" t="str">
        <f aca="false">IF(OR(J57="",J57=0),"",MIN(1,K57/J57))</f>
        <v/>
      </c>
      <c r="S57" s="21" t="str">
        <f aca="true">IF(H57="","",IF(I57="",MAX(0,TODAY()-H57),MAX(0,I57-H57)))</f>
        <v/>
      </c>
      <c r="T57" s="14" t="str">
        <f aca="false">IF(OR(H57="",I57=""),"",IF(I57&lt;=H57,"S","N"))</f>
        <v/>
      </c>
      <c r="U57" s="14" t="str">
        <f aca="false">IF(A57="","",IF(AND(N57="S",O57="S",P57="S"),"S","N"))</f>
        <v/>
      </c>
      <c r="V57" s="13"/>
      <c r="W57" s="18"/>
      <c r="X57" s="19" t="str">
        <f aca="false">IF(W57="","",W57-G57)</f>
        <v/>
      </c>
      <c r="Y57" s="14" t="str">
        <f aca="true">IF(A57="","",IF(K57=0,IF(AND(H57&lt;&gt;"",TODAY()&gt;H57),"Vencida","Pendiente"),IF(K57&lt;J57,"Parcial","Completa")))</f>
        <v/>
      </c>
      <c r="Z57" s="16"/>
      <c r="AA57" s="13"/>
      <c r="AB57" s="14" t="str">
        <f aca="false">IF(W57="","Sin factura",IF(ABS(X57)&lt;=0.01,"OK","Revisar"))</f>
        <v>Sin factura</v>
      </c>
      <c r="AC57" s="13"/>
      <c r="AD57" s="14" t="str">
        <f aca="false">IF(A57="","",IF(L57="N","Producto no conforme",IF(M57="N","Falta registro sanitario",IF(OR(Y57="Parcial",Y57="Vencida"),IF(Z57="","Reprogramar recepción","Reprogramada "&amp;TEXT(Z57,"dd/mm")),IF(Y57="Pendiente","En espera",IF(U57="N","Completar documentos",IF(AB57="Revisar","Revisar importe facturado",IF(AC57&lt;&gt;"S","Registrar en Kontrollers","OK"))))))))</f>
        <v/>
      </c>
      <c r="AE57" s="13"/>
    </row>
    <row r="58" customFormat="false" ht="15" hidden="false" customHeight="false" outlineLevel="0" collapsed="false">
      <c r="A58" s="13"/>
      <c r="B58" s="16"/>
      <c r="C58" s="13"/>
      <c r="D58" s="13"/>
      <c r="E58" s="13"/>
      <c r="F58" s="13"/>
      <c r="G58" s="18"/>
      <c r="H58" s="16"/>
      <c r="I58" s="16"/>
      <c r="J58" s="17"/>
      <c r="K58" s="17"/>
      <c r="L58" s="13"/>
      <c r="M58" s="13"/>
      <c r="N58" s="13"/>
      <c r="O58" s="13"/>
      <c r="P58" s="13"/>
      <c r="Q58" s="14" t="str">
        <f aca="false">IF(B58="","",MONTH(B58))</f>
        <v/>
      </c>
      <c r="R58" s="20" t="str">
        <f aca="false">IF(OR(J58="",J58=0),"",MIN(1,K58/J58))</f>
        <v/>
      </c>
      <c r="S58" s="21" t="str">
        <f aca="true">IF(H58="","",IF(I58="",MAX(0,TODAY()-H58),MAX(0,I58-H58)))</f>
        <v/>
      </c>
      <c r="T58" s="14" t="str">
        <f aca="false">IF(OR(H58="",I58=""),"",IF(I58&lt;=H58,"S","N"))</f>
        <v/>
      </c>
      <c r="U58" s="14" t="str">
        <f aca="false">IF(A58="","",IF(AND(N58="S",O58="S",P58="S"),"S","N"))</f>
        <v/>
      </c>
      <c r="V58" s="13"/>
      <c r="W58" s="18"/>
      <c r="X58" s="19" t="str">
        <f aca="false">IF(W58="","",W58-G58)</f>
        <v/>
      </c>
      <c r="Y58" s="14" t="str">
        <f aca="true">IF(A58="","",IF(K58=0,IF(AND(H58&lt;&gt;"",TODAY()&gt;H58),"Vencida","Pendiente"),IF(K58&lt;J58,"Parcial","Completa")))</f>
        <v/>
      </c>
      <c r="Z58" s="16"/>
      <c r="AA58" s="13"/>
      <c r="AB58" s="14" t="str">
        <f aca="false">IF(W58="","Sin factura",IF(ABS(X58)&lt;=0.01,"OK","Revisar"))</f>
        <v>Sin factura</v>
      </c>
      <c r="AC58" s="13"/>
      <c r="AD58" s="14" t="str">
        <f aca="false">IF(A58="","",IF(L58="N","Producto no conforme",IF(M58="N","Falta registro sanitario",IF(OR(Y58="Parcial",Y58="Vencida"),IF(Z58="","Reprogramar recepción","Reprogramada "&amp;TEXT(Z58,"dd/mm")),IF(Y58="Pendiente","En espera",IF(U58="N","Completar documentos",IF(AB58="Revisar","Revisar importe facturado",IF(AC58&lt;&gt;"S","Registrar en Kontrollers","OK"))))))))</f>
        <v/>
      </c>
      <c r="AE58" s="13"/>
    </row>
    <row r="59" customFormat="false" ht="15" hidden="false" customHeight="false" outlineLevel="0" collapsed="false">
      <c r="A59" s="13"/>
      <c r="B59" s="16"/>
      <c r="C59" s="13"/>
      <c r="D59" s="13"/>
      <c r="E59" s="13"/>
      <c r="F59" s="13"/>
      <c r="G59" s="18"/>
      <c r="H59" s="16"/>
      <c r="I59" s="16"/>
      <c r="J59" s="17"/>
      <c r="K59" s="17"/>
      <c r="L59" s="13"/>
      <c r="M59" s="13"/>
      <c r="N59" s="13"/>
      <c r="O59" s="13"/>
      <c r="P59" s="13"/>
      <c r="Q59" s="14" t="str">
        <f aca="false">IF(B59="","",MONTH(B59))</f>
        <v/>
      </c>
      <c r="R59" s="20" t="str">
        <f aca="false">IF(OR(J59="",J59=0),"",MIN(1,K59/J59))</f>
        <v/>
      </c>
      <c r="S59" s="21" t="str">
        <f aca="true">IF(H59="","",IF(I59="",MAX(0,TODAY()-H59),MAX(0,I59-H59)))</f>
        <v/>
      </c>
      <c r="T59" s="14" t="str">
        <f aca="false">IF(OR(H59="",I59=""),"",IF(I59&lt;=H59,"S","N"))</f>
        <v/>
      </c>
      <c r="U59" s="14" t="str">
        <f aca="false">IF(A59="","",IF(AND(N59="S",O59="S",P59="S"),"S","N"))</f>
        <v/>
      </c>
      <c r="V59" s="13"/>
      <c r="W59" s="18"/>
      <c r="X59" s="19" t="str">
        <f aca="false">IF(W59="","",W59-G59)</f>
        <v/>
      </c>
      <c r="Y59" s="14" t="str">
        <f aca="true">IF(A59="","",IF(K59=0,IF(AND(H59&lt;&gt;"",TODAY()&gt;H59),"Vencida","Pendiente"),IF(K59&lt;J59,"Parcial","Completa")))</f>
        <v/>
      </c>
      <c r="Z59" s="16"/>
      <c r="AA59" s="13"/>
      <c r="AB59" s="14" t="str">
        <f aca="false">IF(W59="","Sin factura",IF(ABS(X59)&lt;=0.01,"OK","Revisar"))</f>
        <v>Sin factura</v>
      </c>
      <c r="AC59" s="13"/>
      <c r="AD59" s="14" t="str">
        <f aca="false">IF(A59="","",IF(L59="N","Producto no conforme",IF(M59="N","Falta registro sanitario",IF(OR(Y59="Parcial",Y59="Vencida"),IF(Z59="","Reprogramar recepción","Reprogramada "&amp;TEXT(Z59,"dd/mm")),IF(Y59="Pendiente","En espera",IF(U59="N","Completar documentos",IF(AB59="Revisar","Revisar importe facturado",IF(AC59&lt;&gt;"S","Registrar en Kontrollers","OK"))))))))</f>
        <v/>
      </c>
      <c r="AE59" s="13"/>
    </row>
    <row r="60" customFormat="false" ht="15" hidden="false" customHeight="false" outlineLevel="0" collapsed="false">
      <c r="A60" s="13"/>
      <c r="B60" s="16"/>
      <c r="C60" s="13"/>
      <c r="D60" s="13"/>
      <c r="E60" s="13"/>
      <c r="F60" s="13"/>
      <c r="G60" s="18"/>
      <c r="H60" s="16"/>
      <c r="I60" s="16"/>
      <c r="J60" s="17"/>
      <c r="K60" s="17"/>
      <c r="L60" s="13"/>
      <c r="M60" s="13"/>
      <c r="N60" s="13"/>
      <c r="O60" s="13"/>
      <c r="P60" s="13"/>
      <c r="Q60" s="14" t="str">
        <f aca="false">IF(B60="","",MONTH(B60))</f>
        <v/>
      </c>
      <c r="R60" s="20" t="str">
        <f aca="false">IF(OR(J60="",J60=0),"",MIN(1,K60/J60))</f>
        <v/>
      </c>
      <c r="S60" s="21" t="str">
        <f aca="true">IF(H60="","",IF(I60="",MAX(0,TODAY()-H60),MAX(0,I60-H60)))</f>
        <v/>
      </c>
      <c r="T60" s="14" t="str">
        <f aca="false">IF(OR(H60="",I60=""),"",IF(I60&lt;=H60,"S","N"))</f>
        <v/>
      </c>
      <c r="U60" s="14" t="str">
        <f aca="false">IF(A60="","",IF(AND(N60="S",O60="S",P60="S"),"S","N"))</f>
        <v/>
      </c>
      <c r="V60" s="13"/>
      <c r="W60" s="18"/>
      <c r="X60" s="19" t="str">
        <f aca="false">IF(W60="","",W60-G60)</f>
        <v/>
      </c>
      <c r="Y60" s="14" t="str">
        <f aca="true">IF(A60="","",IF(K60=0,IF(AND(H60&lt;&gt;"",TODAY()&gt;H60),"Vencida","Pendiente"),IF(K60&lt;J60,"Parcial","Completa")))</f>
        <v/>
      </c>
      <c r="Z60" s="16"/>
      <c r="AA60" s="13"/>
      <c r="AB60" s="14" t="str">
        <f aca="false">IF(W60="","Sin factura",IF(ABS(X60)&lt;=0.01,"OK","Revisar"))</f>
        <v>Sin factura</v>
      </c>
      <c r="AC60" s="13"/>
      <c r="AD60" s="14" t="str">
        <f aca="false">IF(A60="","",IF(L60="N","Producto no conforme",IF(M60="N","Falta registro sanitario",IF(OR(Y60="Parcial",Y60="Vencida"),IF(Z60="","Reprogramar recepción","Reprogramada "&amp;TEXT(Z60,"dd/mm")),IF(Y60="Pendiente","En espera",IF(U60="N","Completar documentos",IF(AB60="Revisar","Revisar importe facturado",IF(AC60&lt;&gt;"S","Registrar en Kontrollers","OK"))))))))</f>
        <v/>
      </c>
      <c r="AE60" s="13"/>
    </row>
    <row r="61" customFormat="false" ht="15" hidden="false" customHeight="false" outlineLevel="0" collapsed="false">
      <c r="A61" s="13"/>
      <c r="B61" s="16"/>
      <c r="C61" s="13"/>
      <c r="D61" s="13"/>
      <c r="E61" s="13"/>
      <c r="F61" s="13"/>
      <c r="G61" s="18"/>
      <c r="H61" s="16"/>
      <c r="I61" s="16"/>
      <c r="J61" s="17"/>
      <c r="K61" s="17"/>
      <c r="L61" s="13"/>
      <c r="M61" s="13"/>
      <c r="N61" s="13"/>
      <c r="O61" s="13"/>
      <c r="P61" s="13"/>
      <c r="Q61" s="14" t="str">
        <f aca="false">IF(B61="","",MONTH(B61))</f>
        <v/>
      </c>
      <c r="R61" s="20" t="str">
        <f aca="false">IF(OR(J61="",J61=0),"",MIN(1,K61/J61))</f>
        <v/>
      </c>
      <c r="S61" s="21" t="str">
        <f aca="true">IF(H61="","",IF(I61="",MAX(0,TODAY()-H61),MAX(0,I61-H61)))</f>
        <v/>
      </c>
      <c r="T61" s="14" t="str">
        <f aca="false">IF(OR(H61="",I61=""),"",IF(I61&lt;=H61,"S","N"))</f>
        <v/>
      </c>
      <c r="U61" s="14" t="str">
        <f aca="false">IF(A61="","",IF(AND(N61="S",O61="S",P61="S"),"S","N"))</f>
        <v/>
      </c>
      <c r="V61" s="13"/>
      <c r="W61" s="18"/>
      <c r="X61" s="19" t="str">
        <f aca="false">IF(W61="","",W61-G61)</f>
        <v/>
      </c>
      <c r="Y61" s="14" t="str">
        <f aca="true">IF(A61="","",IF(K61=0,IF(AND(H61&lt;&gt;"",TODAY()&gt;H61),"Vencida","Pendiente"),IF(K61&lt;J61,"Parcial","Completa")))</f>
        <v/>
      </c>
      <c r="Z61" s="16"/>
      <c r="AA61" s="13"/>
      <c r="AB61" s="14" t="str">
        <f aca="false">IF(W61="","Sin factura",IF(ABS(X61)&lt;=0.01,"OK","Revisar"))</f>
        <v>Sin factura</v>
      </c>
      <c r="AC61" s="13"/>
      <c r="AD61" s="14" t="str">
        <f aca="false">IF(A61="","",IF(L61="N","Producto no conforme",IF(M61="N","Falta registro sanitario",IF(OR(Y61="Parcial",Y61="Vencida"),IF(Z61="","Reprogramar recepción","Reprogramada "&amp;TEXT(Z61,"dd/mm")),IF(Y61="Pendiente","En espera",IF(U61="N","Completar documentos",IF(AB61="Revisar","Revisar importe facturado",IF(AC61&lt;&gt;"S","Registrar en Kontrollers","OK"))))))))</f>
        <v/>
      </c>
      <c r="AE61" s="13"/>
    </row>
    <row r="62" customFormat="false" ht="15" hidden="false" customHeight="false" outlineLevel="0" collapsed="false">
      <c r="A62" s="13"/>
      <c r="B62" s="16"/>
      <c r="C62" s="13"/>
      <c r="D62" s="13"/>
      <c r="E62" s="13"/>
      <c r="F62" s="13"/>
      <c r="G62" s="18"/>
      <c r="H62" s="16"/>
      <c r="I62" s="16"/>
      <c r="J62" s="17"/>
      <c r="K62" s="17"/>
      <c r="L62" s="13"/>
      <c r="M62" s="13"/>
      <c r="N62" s="13"/>
      <c r="O62" s="13"/>
      <c r="P62" s="13"/>
      <c r="Q62" s="14" t="str">
        <f aca="false">IF(B62="","",MONTH(B62))</f>
        <v/>
      </c>
      <c r="R62" s="20" t="str">
        <f aca="false">IF(OR(J62="",J62=0),"",MIN(1,K62/J62))</f>
        <v/>
      </c>
      <c r="S62" s="21" t="str">
        <f aca="true">IF(H62="","",IF(I62="",MAX(0,TODAY()-H62),MAX(0,I62-H62)))</f>
        <v/>
      </c>
      <c r="T62" s="14" t="str">
        <f aca="false">IF(OR(H62="",I62=""),"",IF(I62&lt;=H62,"S","N"))</f>
        <v/>
      </c>
      <c r="U62" s="14" t="str">
        <f aca="false">IF(A62="","",IF(AND(N62="S",O62="S",P62="S"),"S","N"))</f>
        <v/>
      </c>
      <c r="V62" s="13"/>
      <c r="W62" s="18"/>
      <c r="X62" s="19" t="str">
        <f aca="false">IF(W62="","",W62-G62)</f>
        <v/>
      </c>
      <c r="Y62" s="14" t="str">
        <f aca="true">IF(A62="","",IF(K62=0,IF(AND(H62&lt;&gt;"",TODAY()&gt;H62),"Vencida","Pendiente"),IF(K62&lt;J62,"Parcial","Completa")))</f>
        <v/>
      </c>
      <c r="Z62" s="16"/>
      <c r="AA62" s="13"/>
      <c r="AB62" s="14" t="str">
        <f aca="false">IF(W62="","Sin factura",IF(ABS(X62)&lt;=0.01,"OK","Revisar"))</f>
        <v>Sin factura</v>
      </c>
      <c r="AC62" s="13"/>
      <c r="AD62" s="14" t="str">
        <f aca="false">IF(A62="","",IF(L62="N","Producto no conforme",IF(M62="N","Falta registro sanitario",IF(OR(Y62="Parcial",Y62="Vencida"),IF(Z62="","Reprogramar recepción","Reprogramada "&amp;TEXT(Z62,"dd/mm")),IF(Y62="Pendiente","En espera",IF(U62="N","Completar documentos",IF(AB62="Revisar","Revisar importe facturado",IF(AC62&lt;&gt;"S","Registrar en Kontrollers","OK"))))))))</f>
        <v/>
      </c>
      <c r="AE62" s="13"/>
    </row>
    <row r="63" customFormat="false" ht="15" hidden="false" customHeight="false" outlineLevel="0" collapsed="false">
      <c r="A63" s="13"/>
      <c r="B63" s="16"/>
      <c r="C63" s="13"/>
      <c r="D63" s="13"/>
      <c r="E63" s="13"/>
      <c r="F63" s="13"/>
      <c r="G63" s="18"/>
      <c r="H63" s="16"/>
      <c r="I63" s="16"/>
      <c r="J63" s="17"/>
      <c r="K63" s="17"/>
      <c r="L63" s="13"/>
      <c r="M63" s="13"/>
      <c r="N63" s="13"/>
      <c r="O63" s="13"/>
      <c r="P63" s="13"/>
      <c r="Q63" s="14" t="str">
        <f aca="false">IF(B63="","",MONTH(B63))</f>
        <v/>
      </c>
      <c r="R63" s="20" t="str">
        <f aca="false">IF(OR(J63="",J63=0),"",MIN(1,K63/J63))</f>
        <v/>
      </c>
      <c r="S63" s="21" t="str">
        <f aca="true">IF(H63="","",IF(I63="",MAX(0,TODAY()-H63),MAX(0,I63-H63)))</f>
        <v/>
      </c>
      <c r="T63" s="14" t="str">
        <f aca="false">IF(OR(H63="",I63=""),"",IF(I63&lt;=H63,"S","N"))</f>
        <v/>
      </c>
      <c r="U63" s="14" t="str">
        <f aca="false">IF(A63="","",IF(AND(N63="S",O63="S",P63="S"),"S","N"))</f>
        <v/>
      </c>
      <c r="V63" s="13"/>
      <c r="W63" s="18"/>
      <c r="X63" s="19" t="str">
        <f aca="false">IF(W63="","",W63-G63)</f>
        <v/>
      </c>
      <c r="Y63" s="14" t="str">
        <f aca="true">IF(A63="","",IF(K63=0,IF(AND(H63&lt;&gt;"",TODAY()&gt;H63),"Vencida","Pendiente"),IF(K63&lt;J63,"Parcial","Completa")))</f>
        <v/>
      </c>
      <c r="Z63" s="16"/>
      <c r="AA63" s="13"/>
      <c r="AB63" s="14" t="str">
        <f aca="false">IF(W63="","Sin factura",IF(ABS(X63)&lt;=0.01,"OK","Revisar"))</f>
        <v>Sin factura</v>
      </c>
      <c r="AC63" s="13"/>
      <c r="AD63" s="14" t="str">
        <f aca="false">IF(A63="","",IF(L63="N","Producto no conforme",IF(M63="N","Falta registro sanitario",IF(OR(Y63="Parcial",Y63="Vencida"),IF(Z63="","Reprogramar recepción","Reprogramada "&amp;TEXT(Z63,"dd/mm")),IF(Y63="Pendiente","En espera",IF(U63="N","Completar documentos",IF(AB63="Revisar","Revisar importe facturado",IF(AC63&lt;&gt;"S","Registrar en Kontrollers","OK"))))))))</f>
        <v/>
      </c>
      <c r="AE63" s="13"/>
    </row>
    <row r="64" customFormat="false" ht="15" hidden="false" customHeight="false" outlineLevel="0" collapsed="false">
      <c r="A64" s="13"/>
      <c r="B64" s="16"/>
      <c r="C64" s="13"/>
      <c r="D64" s="13"/>
      <c r="E64" s="13"/>
      <c r="F64" s="13"/>
      <c r="G64" s="18"/>
      <c r="H64" s="16"/>
      <c r="I64" s="16"/>
      <c r="J64" s="17"/>
      <c r="K64" s="17"/>
      <c r="L64" s="13"/>
      <c r="M64" s="13"/>
      <c r="N64" s="13"/>
      <c r="O64" s="13"/>
      <c r="P64" s="13"/>
      <c r="Q64" s="14" t="str">
        <f aca="false">IF(B64="","",MONTH(B64))</f>
        <v/>
      </c>
      <c r="R64" s="20" t="str">
        <f aca="false">IF(OR(J64="",J64=0),"",MIN(1,K64/J64))</f>
        <v/>
      </c>
      <c r="S64" s="21" t="str">
        <f aca="true">IF(H64="","",IF(I64="",MAX(0,TODAY()-H64),MAX(0,I64-H64)))</f>
        <v/>
      </c>
      <c r="T64" s="14" t="str">
        <f aca="false">IF(OR(H64="",I64=""),"",IF(I64&lt;=H64,"S","N"))</f>
        <v/>
      </c>
      <c r="U64" s="14" t="str">
        <f aca="false">IF(A64="","",IF(AND(N64="S",O64="S",P64="S"),"S","N"))</f>
        <v/>
      </c>
      <c r="V64" s="13"/>
      <c r="W64" s="18"/>
      <c r="X64" s="19" t="str">
        <f aca="false">IF(W64="","",W64-G64)</f>
        <v/>
      </c>
      <c r="Y64" s="14" t="str">
        <f aca="true">IF(A64="","",IF(K64=0,IF(AND(H64&lt;&gt;"",TODAY()&gt;H64),"Vencida","Pendiente"),IF(K64&lt;J64,"Parcial","Completa")))</f>
        <v/>
      </c>
      <c r="Z64" s="16"/>
      <c r="AA64" s="13"/>
      <c r="AB64" s="14" t="str">
        <f aca="false">IF(W64="","Sin factura",IF(ABS(X64)&lt;=0.01,"OK","Revisar"))</f>
        <v>Sin factura</v>
      </c>
      <c r="AC64" s="13"/>
      <c r="AD64" s="14" t="str">
        <f aca="false">IF(A64="","",IF(L64="N","Producto no conforme",IF(M64="N","Falta registro sanitario",IF(OR(Y64="Parcial",Y64="Vencida"),IF(Z64="","Reprogramar recepción","Reprogramada "&amp;TEXT(Z64,"dd/mm")),IF(Y64="Pendiente","En espera",IF(U64="N","Completar documentos",IF(AB64="Revisar","Revisar importe facturado",IF(AC64&lt;&gt;"S","Registrar en Kontrollers","OK"))))))))</f>
        <v/>
      </c>
      <c r="AE64" s="13"/>
    </row>
    <row r="65" customFormat="false" ht="15" hidden="false" customHeight="false" outlineLevel="0" collapsed="false">
      <c r="A65" s="13"/>
      <c r="B65" s="16"/>
      <c r="C65" s="13"/>
      <c r="D65" s="13"/>
      <c r="E65" s="13"/>
      <c r="F65" s="13"/>
      <c r="G65" s="18"/>
      <c r="H65" s="16"/>
      <c r="I65" s="16"/>
      <c r="J65" s="17"/>
      <c r="K65" s="17"/>
      <c r="L65" s="13"/>
      <c r="M65" s="13"/>
      <c r="N65" s="13"/>
      <c r="O65" s="13"/>
      <c r="P65" s="13"/>
      <c r="Q65" s="14" t="str">
        <f aca="false">IF(B65="","",MONTH(B65))</f>
        <v/>
      </c>
      <c r="R65" s="20" t="str">
        <f aca="false">IF(OR(J65="",J65=0),"",MIN(1,K65/J65))</f>
        <v/>
      </c>
      <c r="S65" s="21" t="str">
        <f aca="true">IF(H65="","",IF(I65="",MAX(0,TODAY()-H65),MAX(0,I65-H65)))</f>
        <v/>
      </c>
      <c r="T65" s="14" t="str">
        <f aca="false">IF(OR(H65="",I65=""),"",IF(I65&lt;=H65,"S","N"))</f>
        <v/>
      </c>
      <c r="U65" s="14" t="str">
        <f aca="false">IF(A65="","",IF(AND(N65="S",O65="S",P65="S"),"S","N"))</f>
        <v/>
      </c>
      <c r="V65" s="13"/>
      <c r="W65" s="18"/>
      <c r="X65" s="19" t="str">
        <f aca="false">IF(W65="","",W65-G65)</f>
        <v/>
      </c>
      <c r="Y65" s="14" t="str">
        <f aca="true">IF(A65="","",IF(K65=0,IF(AND(H65&lt;&gt;"",TODAY()&gt;H65),"Vencida","Pendiente"),IF(K65&lt;J65,"Parcial","Completa")))</f>
        <v/>
      </c>
      <c r="Z65" s="16"/>
      <c r="AA65" s="13"/>
      <c r="AB65" s="14" t="str">
        <f aca="false">IF(W65="","Sin factura",IF(ABS(X65)&lt;=0.01,"OK","Revisar"))</f>
        <v>Sin factura</v>
      </c>
      <c r="AC65" s="13"/>
      <c r="AD65" s="14" t="str">
        <f aca="false">IF(A65="","",IF(L65="N","Producto no conforme",IF(M65="N","Falta registro sanitario",IF(OR(Y65="Parcial",Y65="Vencida"),IF(Z65="","Reprogramar recepción","Reprogramada "&amp;TEXT(Z65,"dd/mm")),IF(Y65="Pendiente","En espera",IF(U65="N","Completar documentos",IF(AB65="Revisar","Revisar importe facturado",IF(AC65&lt;&gt;"S","Registrar en Kontrollers","OK"))))))))</f>
        <v/>
      </c>
      <c r="AE65" s="13"/>
    </row>
    <row r="66" customFormat="false" ht="15" hidden="false" customHeight="false" outlineLevel="0" collapsed="false">
      <c r="A66" s="13"/>
      <c r="B66" s="16"/>
      <c r="C66" s="13"/>
      <c r="D66" s="13"/>
      <c r="E66" s="13"/>
      <c r="F66" s="13"/>
      <c r="G66" s="18"/>
      <c r="H66" s="16"/>
      <c r="I66" s="16"/>
      <c r="J66" s="17"/>
      <c r="K66" s="17"/>
      <c r="L66" s="13"/>
      <c r="M66" s="13"/>
      <c r="N66" s="13"/>
      <c r="O66" s="13"/>
      <c r="P66" s="13"/>
      <c r="Q66" s="14" t="str">
        <f aca="false">IF(B66="","",MONTH(B66))</f>
        <v/>
      </c>
      <c r="R66" s="20" t="str">
        <f aca="false">IF(OR(J66="",J66=0),"",MIN(1,K66/J66))</f>
        <v/>
      </c>
      <c r="S66" s="21" t="str">
        <f aca="true">IF(H66="","",IF(I66="",MAX(0,TODAY()-H66),MAX(0,I66-H66)))</f>
        <v/>
      </c>
      <c r="T66" s="14" t="str">
        <f aca="false">IF(OR(H66="",I66=""),"",IF(I66&lt;=H66,"S","N"))</f>
        <v/>
      </c>
      <c r="U66" s="14" t="str">
        <f aca="false">IF(A66="","",IF(AND(N66="S",O66="S",P66="S"),"S","N"))</f>
        <v/>
      </c>
      <c r="V66" s="13"/>
      <c r="W66" s="18"/>
      <c r="X66" s="19" t="str">
        <f aca="false">IF(W66="","",W66-G66)</f>
        <v/>
      </c>
      <c r="Y66" s="14" t="str">
        <f aca="true">IF(A66="","",IF(K66=0,IF(AND(H66&lt;&gt;"",TODAY()&gt;H66),"Vencida","Pendiente"),IF(K66&lt;J66,"Parcial","Completa")))</f>
        <v/>
      </c>
      <c r="Z66" s="16"/>
      <c r="AA66" s="13"/>
      <c r="AB66" s="14" t="str">
        <f aca="false">IF(W66="","Sin factura",IF(ABS(X66)&lt;=0.01,"OK","Revisar"))</f>
        <v>Sin factura</v>
      </c>
      <c r="AC66" s="13"/>
      <c r="AD66" s="14" t="str">
        <f aca="false">IF(A66="","",IF(L66="N","Producto no conforme",IF(M66="N","Falta registro sanitario",IF(OR(Y66="Parcial",Y66="Vencida"),IF(Z66="","Reprogramar recepción","Reprogramada "&amp;TEXT(Z66,"dd/mm")),IF(Y66="Pendiente","En espera",IF(U66="N","Completar documentos",IF(AB66="Revisar","Revisar importe facturado",IF(AC66&lt;&gt;"S","Registrar en Kontrollers","OK"))))))))</f>
        <v/>
      </c>
      <c r="AE66" s="13"/>
    </row>
    <row r="67" customFormat="false" ht="15" hidden="false" customHeight="false" outlineLevel="0" collapsed="false">
      <c r="A67" s="13"/>
      <c r="B67" s="16"/>
      <c r="C67" s="13"/>
      <c r="D67" s="13"/>
      <c r="E67" s="13"/>
      <c r="F67" s="13"/>
      <c r="G67" s="18"/>
      <c r="H67" s="16"/>
      <c r="I67" s="16"/>
      <c r="J67" s="17"/>
      <c r="K67" s="17"/>
      <c r="L67" s="13"/>
      <c r="M67" s="13"/>
      <c r="N67" s="13"/>
      <c r="O67" s="13"/>
      <c r="P67" s="13"/>
      <c r="Q67" s="14" t="str">
        <f aca="false">IF(B67="","",MONTH(B67))</f>
        <v/>
      </c>
      <c r="R67" s="20" t="str">
        <f aca="false">IF(OR(J67="",J67=0),"",MIN(1,K67/J67))</f>
        <v/>
      </c>
      <c r="S67" s="21" t="str">
        <f aca="true">IF(H67="","",IF(I67="",MAX(0,TODAY()-H67),MAX(0,I67-H67)))</f>
        <v/>
      </c>
      <c r="T67" s="14" t="str">
        <f aca="false">IF(OR(H67="",I67=""),"",IF(I67&lt;=H67,"S","N"))</f>
        <v/>
      </c>
      <c r="U67" s="14" t="str">
        <f aca="false">IF(A67="","",IF(AND(N67="S",O67="S",P67="S"),"S","N"))</f>
        <v/>
      </c>
      <c r="V67" s="13"/>
      <c r="W67" s="18"/>
      <c r="X67" s="19" t="str">
        <f aca="false">IF(W67="","",W67-G67)</f>
        <v/>
      </c>
      <c r="Y67" s="14" t="str">
        <f aca="true">IF(A67="","",IF(K67=0,IF(AND(H67&lt;&gt;"",TODAY()&gt;H67),"Vencida","Pendiente"),IF(K67&lt;J67,"Parcial","Completa")))</f>
        <v/>
      </c>
      <c r="Z67" s="16"/>
      <c r="AA67" s="13"/>
      <c r="AB67" s="14" t="str">
        <f aca="false">IF(W67="","Sin factura",IF(ABS(X67)&lt;=0.01,"OK","Revisar"))</f>
        <v>Sin factura</v>
      </c>
      <c r="AC67" s="13"/>
      <c r="AD67" s="14" t="str">
        <f aca="false">IF(A67="","",IF(L67="N","Producto no conforme",IF(M67="N","Falta registro sanitario",IF(OR(Y67="Parcial",Y67="Vencida"),IF(Z67="","Reprogramar recepción","Reprogramada "&amp;TEXT(Z67,"dd/mm")),IF(Y67="Pendiente","En espera",IF(U67="N","Completar documentos",IF(AB67="Revisar","Revisar importe facturado",IF(AC67&lt;&gt;"S","Registrar en Kontrollers","OK"))))))))</f>
        <v/>
      </c>
      <c r="AE67" s="13"/>
    </row>
    <row r="68" customFormat="false" ht="15" hidden="false" customHeight="false" outlineLevel="0" collapsed="false">
      <c r="A68" s="13"/>
      <c r="B68" s="16"/>
      <c r="C68" s="13"/>
      <c r="D68" s="13"/>
      <c r="E68" s="13"/>
      <c r="F68" s="13"/>
      <c r="G68" s="18"/>
      <c r="H68" s="16"/>
      <c r="I68" s="16"/>
      <c r="J68" s="17"/>
      <c r="K68" s="17"/>
      <c r="L68" s="13"/>
      <c r="M68" s="13"/>
      <c r="N68" s="13"/>
      <c r="O68" s="13"/>
      <c r="P68" s="13"/>
      <c r="Q68" s="14" t="str">
        <f aca="false">IF(B68="","",MONTH(B68))</f>
        <v/>
      </c>
      <c r="R68" s="20" t="str">
        <f aca="false">IF(OR(J68="",J68=0),"",MIN(1,K68/J68))</f>
        <v/>
      </c>
      <c r="S68" s="21" t="str">
        <f aca="true">IF(H68="","",IF(I68="",MAX(0,TODAY()-H68),MAX(0,I68-H68)))</f>
        <v/>
      </c>
      <c r="T68" s="14" t="str">
        <f aca="false">IF(OR(H68="",I68=""),"",IF(I68&lt;=H68,"S","N"))</f>
        <v/>
      </c>
      <c r="U68" s="14" t="str">
        <f aca="false">IF(A68="","",IF(AND(N68="S",O68="S",P68="S"),"S","N"))</f>
        <v/>
      </c>
      <c r="V68" s="13"/>
      <c r="W68" s="18"/>
      <c r="X68" s="19" t="str">
        <f aca="false">IF(W68="","",W68-G68)</f>
        <v/>
      </c>
      <c r="Y68" s="14" t="str">
        <f aca="true">IF(A68="","",IF(K68=0,IF(AND(H68&lt;&gt;"",TODAY()&gt;H68),"Vencida","Pendiente"),IF(K68&lt;J68,"Parcial","Completa")))</f>
        <v/>
      </c>
      <c r="Z68" s="16"/>
      <c r="AA68" s="13"/>
      <c r="AB68" s="14" t="str">
        <f aca="false">IF(W68="","Sin factura",IF(ABS(X68)&lt;=0.01,"OK","Revisar"))</f>
        <v>Sin factura</v>
      </c>
      <c r="AC68" s="13"/>
      <c r="AD68" s="14" t="str">
        <f aca="false">IF(A68="","",IF(L68="N","Producto no conforme",IF(M68="N","Falta registro sanitario",IF(OR(Y68="Parcial",Y68="Vencida"),IF(Z68="","Reprogramar recepción","Reprogramada "&amp;TEXT(Z68,"dd/mm")),IF(Y68="Pendiente","En espera",IF(U68="N","Completar documentos",IF(AB68="Revisar","Revisar importe facturado",IF(AC68&lt;&gt;"S","Registrar en Kontrollers","OK"))))))))</f>
        <v/>
      </c>
      <c r="AE68" s="13"/>
    </row>
    <row r="69" customFormat="false" ht="15" hidden="false" customHeight="false" outlineLevel="0" collapsed="false">
      <c r="A69" s="13"/>
      <c r="B69" s="16"/>
      <c r="C69" s="13"/>
      <c r="D69" s="13"/>
      <c r="E69" s="13"/>
      <c r="F69" s="13"/>
      <c r="G69" s="18"/>
      <c r="H69" s="16"/>
      <c r="I69" s="16"/>
      <c r="J69" s="17"/>
      <c r="K69" s="17"/>
      <c r="L69" s="13"/>
      <c r="M69" s="13"/>
      <c r="N69" s="13"/>
      <c r="O69" s="13"/>
      <c r="P69" s="13"/>
      <c r="Q69" s="14" t="str">
        <f aca="false">IF(B69="","",MONTH(B69))</f>
        <v/>
      </c>
      <c r="R69" s="20" t="str">
        <f aca="false">IF(OR(J69="",J69=0),"",MIN(1,K69/J69))</f>
        <v/>
      </c>
      <c r="S69" s="21" t="str">
        <f aca="true">IF(H69="","",IF(I69="",MAX(0,TODAY()-H69),MAX(0,I69-H69)))</f>
        <v/>
      </c>
      <c r="T69" s="14" t="str">
        <f aca="false">IF(OR(H69="",I69=""),"",IF(I69&lt;=H69,"S","N"))</f>
        <v/>
      </c>
      <c r="U69" s="14" t="str">
        <f aca="false">IF(A69="","",IF(AND(N69="S",O69="S",P69="S"),"S","N"))</f>
        <v/>
      </c>
      <c r="V69" s="13"/>
      <c r="W69" s="18"/>
      <c r="X69" s="19" t="str">
        <f aca="false">IF(W69="","",W69-G69)</f>
        <v/>
      </c>
      <c r="Y69" s="14" t="str">
        <f aca="true">IF(A69="","",IF(K69=0,IF(AND(H69&lt;&gt;"",TODAY()&gt;H69),"Vencida","Pendiente"),IF(K69&lt;J69,"Parcial","Completa")))</f>
        <v/>
      </c>
      <c r="Z69" s="16"/>
      <c r="AA69" s="13"/>
      <c r="AB69" s="14" t="str">
        <f aca="false">IF(W69="","Sin factura",IF(ABS(X69)&lt;=0.01,"OK","Revisar"))</f>
        <v>Sin factura</v>
      </c>
      <c r="AC69" s="13"/>
      <c r="AD69" s="14" t="str">
        <f aca="false">IF(A69="","",IF(L69="N","Producto no conforme",IF(M69="N","Falta registro sanitario",IF(OR(Y69="Parcial",Y69="Vencida"),IF(Z69="","Reprogramar recepción","Reprogramada "&amp;TEXT(Z69,"dd/mm")),IF(Y69="Pendiente","En espera",IF(U69="N","Completar documentos",IF(AB69="Revisar","Revisar importe facturado",IF(AC69&lt;&gt;"S","Registrar en Kontrollers","OK"))))))))</f>
        <v/>
      </c>
      <c r="AE69" s="13"/>
    </row>
    <row r="70" customFormat="false" ht="15" hidden="false" customHeight="false" outlineLevel="0" collapsed="false">
      <c r="A70" s="13"/>
      <c r="B70" s="16"/>
      <c r="C70" s="13"/>
      <c r="D70" s="13"/>
      <c r="E70" s="13"/>
      <c r="F70" s="13"/>
      <c r="G70" s="18"/>
      <c r="H70" s="16"/>
      <c r="I70" s="16"/>
      <c r="J70" s="17"/>
      <c r="K70" s="17"/>
      <c r="L70" s="13"/>
      <c r="M70" s="13"/>
      <c r="N70" s="13"/>
      <c r="O70" s="13"/>
      <c r="P70" s="13"/>
      <c r="Q70" s="14" t="str">
        <f aca="false">IF(B70="","",MONTH(B70))</f>
        <v/>
      </c>
      <c r="R70" s="20" t="str">
        <f aca="false">IF(OR(J70="",J70=0),"",MIN(1,K70/J70))</f>
        <v/>
      </c>
      <c r="S70" s="21" t="str">
        <f aca="true">IF(H70="","",IF(I70="",MAX(0,TODAY()-H70),MAX(0,I70-H70)))</f>
        <v/>
      </c>
      <c r="T70" s="14" t="str">
        <f aca="false">IF(OR(H70="",I70=""),"",IF(I70&lt;=H70,"S","N"))</f>
        <v/>
      </c>
      <c r="U70" s="14" t="str">
        <f aca="false">IF(A70="","",IF(AND(N70="S",O70="S",P70="S"),"S","N"))</f>
        <v/>
      </c>
      <c r="V70" s="13"/>
      <c r="W70" s="18"/>
      <c r="X70" s="19" t="str">
        <f aca="false">IF(W70="","",W70-G70)</f>
        <v/>
      </c>
      <c r="Y70" s="14" t="str">
        <f aca="true">IF(A70="","",IF(K70=0,IF(AND(H70&lt;&gt;"",TODAY()&gt;H70),"Vencida","Pendiente"),IF(K70&lt;J70,"Parcial","Completa")))</f>
        <v/>
      </c>
      <c r="Z70" s="16"/>
      <c r="AA70" s="13"/>
      <c r="AB70" s="14" t="str">
        <f aca="false">IF(W70="","Sin factura",IF(ABS(X70)&lt;=0.01,"OK","Revisar"))</f>
        <v>Sin factura</v>
      </c>
      <c r="AC70" s="13"/>
      <c r="AD70" s="14" t="str">
        <f aca="false">IF(A70="","",IF(L70="N","Producto no conforme",IF(M70="N","Falta registro sanitario",IF(OR(Y70="Parcial",Y70="Vencida"),IF(Z70="","Reprogramar recepción","Reprogramada "&amp;TEXT(Z70,"dd/mm")),IF(Y70="Pendiente","En espera",IF(U70="N","Completar documentos",IF(AB70="Revisar","Revisar importe facturado",IF(AC70&lt;&gt;"S","Registrar en Kontrollers","OK"))))))))</f>
        <v/>
      </c>
      <c r="AE70" s="13"/>
    </row>
    <row r="71" customFormat="false" ht="15" hidden="false" customHeight="false" outlineLevel="0" collapsed="false">
      <c r="A71" s="13"/>
      <c r="B71" s="16"/>
      <c r="C71" s="13"/>
      <c r="D71" s="13"/>
      <c r="E71" s="13"/>
      <c r="F71" s="13"/>
      <c r="G71" s="18"/>
      <c r="H71" s="16"/>
      <c r="I71" s="16"/>
      <c r="J71" s="17"/>
      <c r="K71" s="17"/>
      <c r="L71" s="13"/>
      <c r="M71" s="13"/>
      <c r="N71" s="13"/>
      <c r="O71" s="13"/>
      <c r="P71" s="13"/>
      <c r="Q71" s="14" t="str">
        <f aca="false">IF(B71="","",MONTH(B71))</f>
        <v/>
      </c>
      <c r="R71" s="20" t="str">
        <f aca="false">IF(OR(J71="",J71=0),"",MIN(1,K71/J71))</f>
        <v/>
      </c>
      <c r="S71" s="21" t="str">
        <f aca="true">IF(H71="","",IF(I71="",MAX(0,TODAY()-H71),MAX(0,I71-H71)))</f>
        <v/>
      </c>
      <c r="T71" s="14" t="str">
        <f aca="false">IF(OR(H71="",I71=""),"",IF(I71&lt;=H71,"S","N"))</f>
        <v/>
      </c>
      <c r="U71" s="14" t="str">
        <f aca="false">IF(A71="","",IF(AND(N71="S",O71="S",P71="S"),"S","N"))</f>
        <v/>
      </c>
      <c r="V71" s="13"/>
      <c r="W71" s="18"/>
      <c r="X71" s="19" t="str">
        <f aca="false">IF(W71="","",W71-G71)</f>
        <v/>
      </c>
      <c r="Y71" s="14" t="str">
        <f aca="true">IF(A71="","",IF(K71=0,IF(AND(H71&lt;&gt;"",TODAY()&gt;H71),"Vencida","Pendiente"),IF(K71&lt;J71,"Parcial","Completa")))</f>
        <v/>
      </c>
      <c r="Z71" s="16"/>
      <c r="AA71" s="13"/>
      <c r="AB71" s="14" t="str">
        <f aca="false">IF(W71="","Sin factura",IF(ABS(X71)&lt;=0.01,"OK","Revisar"))</f>
        <v>Sin factura</v>
      </c>
      <c r="AC71" s="13"/>
      <c r="AD71" s="14" t="str">
        <f aca="false">IF(A71="","",IF(L71="N","Producto no conforme",IF(M71="N","Falta registro sanitario",IF(OR(Y71="Parcial",Y71="Vencida"),IF(Z71="","Reprogramar recepción","Reprogramada "&amp;TEXT(Z71,"dd/mm")),IF(Y71="Pendiente","En espera",IF(U71="N","Completar documentos",IF(AB71="Revisar","Revisar importe facturado",IF(AC71&lt;&gt;"S","Registrar en Kontrollers","OK"))))))))</f>
        <v/>
      </c>
      <c r="AE71" s="13"/>
    </row>
    <row r="72" customFormat="false" ht="15" hidden="false" customHeight="false" outlineLevel="0" collapsed="false">
      <c r="A72" s="13"/>
      <c r="B72" s="16"/>
      <c r="C72" s="13"/>
      <c r="D72" s="13"/>
      <c r="E72" s="13"/>
      <c r="F72" s="13"/>
      <c r="G72" s="18"/>
      <c r="H72" s="16"/>
      <c r="I72" s="16"/>
      <c r="J72" s="17"/>
      <c r="K72" s="17"/>
      <c r="L72" s="13"/>
      <c r="M72" s="13"/>
      <c r="N72" s="13"/>
      <c r="O72" s="13"/>
      <c r="P72" s="13"/>
      <c r="Q72" s="14" t="str">
        <f aca="false">IF(B72="","",MONTH(B72))</f>
        <v/>
      </c>
      <c r="R72" s="20" t="str">
        <f aca="false">IF(OR(J72="",J72=0),"",MIN(1,K72/J72))</f>
        <v/>
      </c>
      <c r="S72" s="21" t="str">
        <f aca="true">IF(H72="","",IF(I72="",MAX(0,TODAY()-H72),MAX(0,I72-H72)))</f>
        <v/>
      </c>
      <c r="T72" s="14" t="str">
        <f aca="false">IF(OR(H72="",I72=""),"",IF(I72&lt;=H72,"S","N"))</f>
        <v/>
      </c>
      <c r="U72" s="14" t="str">
        <f aca="false">IF(A72="","",IF(AND(N72="S",O72="S",P72="S"),"S","N"))</f>
        <v/>
      </c>
      <c r="V72" s="13"/>
      <c r="W72" s="18"/>
      <c r="X72" s="19" t="str">
        <f aca="false">IF(W72="","",W72-G72)</f>
        <v/>
      </c>
      <c r="Y72" s="14" t="str">
        <f aca="true">IF(A72="","",IF(K72=0,IF(AND(H72&lt;&gt;"",TODAY()&gt;H72),"Vencida","Pendiente"),IF(K72&lt;J72,"Parcial","Completa")))</f>
        <v/>
      </c>
      <c r="Z72" s="16"/>
      <c r="AA72" s="13"/>
      <c r="AB72" s="14" t="str">
        <f aca="false">IF(W72="","Sin factura",IF(ABS(X72)&lt;=0.01,"OK","Revisar"))</f>
        <v>Sin factura</v>
      </c>
      <c r="AC72" s="13"/>
      <c r="AD72" s="14" t="str">
        <f aca="false">IF(A72="","",IF(L72="N","Producto no conforme",IF(M72="N","Falta registro sanitario",IF(OR(Y72="Parcial",Y72="Vencida"),IF(Z72="","Reprogramar recepción","Reprogramada "&amp;TEXT(Z72,"dd/mm")),IF(Y72="Pendiente","En espera",IF(U72="N","Completar documentos",IF(AB72="Revisar","Revisar importe facturado",IF(AC72&lt;&gt;"S","Registrar en Kontrollers","OK"))))))))</f>
        <v/>
      </c>
      <c r="AE72" s="13"/>
    </row>
    <row r="73" customFormat="false" ht="15" hidden="false" customHeight="false" outlineLevel="0" collapsed="false">
      <c r="A73" s="13"/>
      <c r="B73" s="16"/>
      <c r="C73" s="13"/>
      <c r="D73" s="13"/>
      <c r="E73" s="13"/>
      <c r="F73" s="13"/>
      <c r="G73" s="18"/>
      <c r="H73" s="16"/>
      <c r="I73" s="16"/>
      <c r="J73" s="17"/>
      <c r="K73" s="17"/>
      <c r="L73" s="13"/>
      <c r="M73" s="13"/>
      <c r="N73" s="13"/>
      <c r="O73" s="13"/>
      <c r="P73" s="13"/>
      <c r="Q73" s="14" t="str">
        <f aca="false">IF(B73="","",MONTH(B73))</f>
        <v/>
      </c>
      <c r="R73" s="20" t="str">
        <f aca="false">IF(OR(J73="",J73=0),"",MIN(1,K73/J73))</f>
        <v/>
      </c>
      <c r="S73" s="21" t="str">
        <f aca="true">IF(H73="","",IF(I73="",MAX(0,TODAY()-H73),MAX(0,I73-H73)))</f>
        <v/>
      </c>
      <c r="T73" s="14" t="str">
        <f aca="false">IF(OR(H73="",I73=""),"",IF(I73&lt;=H73,"S","N"))</f>
        <v/>
      </c>
      <c r="U73" s="14" t="str">
        <f aca="false">IF(A73="","",IF(AND(N73="S",O73="S",P73="S"),"S","N"))</f>
        <v/>
      </c>
      <c r="V73" s="13"/>
      <c r="W73" s="18"/>
      <c r="X73" s="19" t="str">
        <f aca="false">IF(W73="","",W73-G73)</f>
        <v/>
      </c>
      <c r="Y73" s="14" t="str">
        <f aca="true">IF(A73="","",IF(K73=0,IF(AND(H73&lt;&gt;"",TODAY()&gt;H73),"Vencida","Pendiente"),IF(K73&lt;J73,"Parcial","Completa")))</f>
        <v/>
      </c>
      <c r="Z73" s="16"/>
      <c r="AA73" s="13"/>
      <c r="AB73" s="14" t="str">
        <f aca="false">IF(W73="","Sin factura",IF(ABS(X73)&lt;=0.01,"OK","Revisar"))</f>
        <v>Sin factura</v>
      </c>
      <c r="AC73" s="13"/>
      <c r="AD73" s="14" t="str">
        <f aca="false">IF(A73="","",IF(L73="N","Producto no conforme",IF(M73="N","Falta registro sanitario",IF(OR(Y73="Parcial",Y73="Vencida"),IF(Z73="","Reprogramar recepción","Reprogramada "&amp;TEXT(Z73,"dd/mm")),IF(Y73="Pendiente","En espera",IF(U73="N","Completar documentos",IF(AB73="Revisar","Revisar importe facturado",IF(AC73&lt;&gt;"S","Registrar en Kontrollers","OK"))))))))</f>
        <v/>
      </c>
      <c r="AE73" s="13"/>
    </row>
    <row r="74" customFormat="false" ht="15" hidden="false" customHeight="false" outlineLevel="0" collapsed="false">
      <c r="A74" s="13"/>
      <c r="B74" s="16"/>
      <c r="C74" s="13"/>
      <c r="D74" s="13"/>
      <c r="E74" s="13"/>
      <c r="F74" s="13"/>
      <c r="G74" s="18"/>
      <c r="H74" s="16"/>
      <c r="I74" s="16"/>
      <c r="J74" s="17"/>
      <c r="K74" s="17"/>
      <c r="L74" s="13"/>
      <c r="M74" s="13"/>
      <c r="N74" s="13"/>
      <c r="O74" s="13"/>
      <c r="P74" s="13"/>
      <c r="Q74" s="14" t="str">
        <f aca="false">IF(B74="","",MONTH(B74))</f>
        <v/>
      </c>
      <c r="R74" s="20" t="str">
        <f aca="false">IF(OR(J74="",J74=0),"",MIN(1,K74/J74))</f>
        <v/>
      </c>
      <c r="S74" s="21" t="str">
        <f aca="true">IF(H74="","",IF(I74="",MAX(0,TODAY()-H74),MAX(0,I74-H74)))</f>
        <v/>
      </c>
      <c r="T74" s="14" t="str">
        <f aca="false">IF(OR(H74="",I74=""),"",IF(I74&lt;=H74,"S","N"))</f>
        <v/>
      </c>
      <c r="U74" s="14" t="str">
        <f aca="false">IF(A74="","",IF(AND(N74="S",O74="S",P74="S"),"S","N"))</f>
        <v/>
      </c>
      <c r="V74" s="13"/>
      <c r="W74" s="18"/>
      <c r="X74" s="19" t="str">
        <f aca="false">IF(W74="","",W74-G74)</f>
        <v/>
      </c>
      <c r="Y74" s="14" t="str">
        <f aca="true">IF(A74="","",IF(K74=0,IF(AND(H74&lt;&gt;"",TODAY()&gt;H74),"Vencida","Pendiente"),IF(K74&lt;J74,"Parcial","Completa")))</f>
        <v/>
      </c>
      <c r="Z74" s="16"/>
      <c r="AA74" s="13"/>
      <c r="AB74" s="14" t="str">
        <f aca="false">IF(W74="","Sin factura",IF(ABS(X74)&lt;=0.01,"OK","Revisar"))</f>
        <v>Sin factura</v>
      </c>
      <c r="AC74" s="13"/>
      <c r="AD74" s="14" t="str">
        <f aca="false">IF(A74="","",IF(L74="N","Producto no conforme",IF(M74="N","Falta registro sanitario",IF(OR(Y74="Parcial",Y74="Vencida"),IF(Z74="","Reprogramar recepción","Reprogramada "&amp;TEXT(Z74,"dd/mm")),IF(Y74="Pendiente","En espera",IF(U74="N","Completar documentos",IF(AB74="Revisar","Revisar importe facturado",IF(AC74&lt;&gt;"S","Registrar en Kontrollers","OK"))))))))</f>
        <v/>
      </c>
      <c r="AE74" s="13"/>
    </row>
    <row r="75" customFormat="false" ht="15" hidden="false" customHeight="false" outlineLevel="0" collapsed="false">
      <c r="A75" s="13"/>
      <c r="B75" s="16"/>
      <c r="C75" s="13"/>
      <c r="D75" s="13"/>
      <c r="E75" s="13"/>
      <c r="F75" s="13"/>
      <c r="G75" s="18"/>
      <c r="H75" s="16"/>
      <c r="I75" s="16"/>
      <c r="J75" s="17"/>
      <c r="K75" s="17"/>
      <c r="L75" s="13"/>
      <c r="M75" s="13"/>
      <c r="N75" s="13"/>
      <c r="O75" s="13"/>
      <c r="P75" s="13"/>
      <c r="Q75" s="14" t="str">
        <f aca="false">IF(B75="","",MONTH(B75))</f>
        <v/>
      </c>
      <c r="R75" s="20" t="str">
        <f aca="false">IF(OR(J75="",J75=0),"",MIN(1,K75/J75))</f>
        <v/>
      </c>
      <c r="S75" s="21" t="str">
        <f aca="true">IF(H75="","",IF(I75="",MAX(0,TODAY()-H75),MAX(0,I75-H75)))</f>
        <v/>
      </c>
      <c r="T75" s="14" t="str">
        <f aca="false">IF(OR(H75="",I75=""),"",IF(I75&lt;=H75,"S","N"))</f>
        <v/>
      </c>
      <c r="U75" s="14" t="str">
        <f aca="false">IF(A75="","",IF(AND(N75="S",O75="S",P75="S"),"S","N"))</f>
        <v/>
      </c>
      <c r="V75" s="13"/>
      <c r="W75" s="18"/>
      <c r="X75" s="19" t="str">
        <f aca="false">IF(W75="","",W75-G75)</f>
        <v/>
      </c>
      <c r="Y75" s="14" t="str">
        <f aca="true">IF(A75="","",IF(K75=0,IF(AND(H75&lt;&gt;"",TODAY()&gt;H75),"Vencida","Pendiente"),IF(K75&lt;J75,"Parcial","Completa")))</f>
        <v/>
      </c>
      <c r="Z75" s="16"/>
      <c r="AA75" s="13"/>
      <c r="AB75" s="14" t="str">
        <f aca="false">IF(W75="","Sin factura",IF(ABS(X75)&lt;=0.01,"OK","Revisar"))</f>
        <v>Sin factura</v>
      </c>
      <c r="AC75" s="13"/>
      <c r="AD75" s="14" t="str">
        <f aca="false">IF(A75="","",IF(L75="N","Producto no conforme",IF(M75="N","Falta registro sanitario",IF(OR(Y75="Parcial",Y75="Vencida"),IF(Z75="","Reprogramar recepción","Reprogramada "&amp;TEXT(Z75,"dd/mm")),IF(Y75="Pendiente","En espera",IF(U75="N","Completar documentos",IF(AB75="Revisar","Revisar importe facturado",IF(AC75&lt;&gt;"S","Registrar en Kontrollers","OK"))))))))</f>
        <v/>
      </c>
      <c r="AE75" s="13"/>
    </row>
    <row r="76" customFormat="false" ht="15" hidden="false" customHeight="false" outlineLevel="0" collapsed="false">
      <c r="A76" s="13"/>
      <c r="B76" s="16"/>
      <c r="C76" s="13"/>
      <c r="D76" s="13"/>
      <c r="E76" s="13"/>
      <c r="F76" s="13"/>
      <c r="G76" s="18"/>
      <c r="H76" s="16"/>
      <c r="I76" s="16"/>
      <c r="J76" s="17"/>
      <c r="K76" s="17"/>
      <c r="L76" s="13"/>
      <c r="M76" s="13"/>
      <c r="N76" s="13"/>
      <c r="O76" s="13"/>
      <c r="P76" s="13"/>
      <c r="Q76" s="14" t="str">
        <f aca="false">IF(B76="","",MONTH(B76))</f>
        <v/>
      </c>
      <c r="R76" s="20" t="str">
        <f aca="false">IF(OR(J76="",J76=0),"",MIN(1,K76/J76))</f>
        <v/>
      </c>
      <c r="S76" s="21" t="str">
        <f aca="true">IF(H76="","",IF(I76="",MAX(0,TODAY()-H76),MAX(0,I76-H76)))</f>
        <v/>
      </c>
      <c r="T76" s="14" t="str">
        <f aca="false">IF(OR(H76="",I76=""),"",IF(I76&lt;=H76,"S","N"))</f>
        <v/>
      </c>
      <c r="U76" s="14" t="str">
        <f aca="false">IF(A76="","",IF(AND(N76="S",O76="S",P76="S"),"S","N"))</f>
        <v/>
      </c>
      <c r="V76" s="13"/>
      <c r="W76" s="18"/>
      <c r="X76" s="19" t="str">
        <f aca="false">IF(W76="","",W76-G76)</f>
        <v/>
      </c>
      <c r="Y76" s="14" t="str">
        <f aca="true">IF(A76="","",IF(K76=0,IF(AND(H76&lt;&gt;"",TODAY()&gt;H76),"Vencida","Pendiente"),IF(K76&lt;J76,"Parcial","Completa")))</f>
        <v/>
      </c>
      <c r="Z76" s="16"/>
      <c r="AA76" s="13"/>
      <c r="AB76" s="14" t="str">
        <f aca="false">IF(W76="","Sin factura",IF(ABS(X76)&lt;=0.01,"OK","Revisar"))</f>
        <v>Sin factura</v>
      </c>
      <c r="AC76" s="13"/>
      <c r="AD76" s="14" t="str">
        <f aca="false">IF(A76="","",IF(L76="N","Producto no conforme",IF(M76="N","Falta registro sanitario",IF(OR(Y76="Parcial",Y76="Vencida"),IF(Z76="","Reprogramar recepción","Reprogramada "&amp;TEXT(Z76,"dd/mm")),IF(Y76="Pendiente","En espera",IF(U76="N","Completar documentos",IF(AB76="Revisar","Revisar importe facturado",IF(AC76&lt;&gt;"S","Registrar en Kontrollers","OK"))))))))</f>
        <v/>
      </c>
      <c r="AE76" s="13"/>
    </row>
    <row r="77" customFormat="false" ht="15" hidden="false" customHeight="false" outlineLevel="0" collapsed="false">
      <c r="A77" s="13"/>
      <c r="B77" s="16"/>
      <c r="C77" s="13"/>
      <c r="D77" s="13"/>
      <c r="E77" s="13"/>
      <c r="F77" s="13"/>
      <c r="G77" s="18"/>
      <c r="H77" s="16"/>
      <c r="I77" s="16"/>
      <c r="J77" s="17"/>
      <c r="K77" s="17"/>
      <c r="L77" s="13"/>
      <c r="M77" s="13"/>
      <c r="N77" s="13"/>
      <c r="O77" s="13"/>
      <c r="P77" s="13"/>
      <c r="Q77" s="14" t="str">
        <f aca="false">IF(B77="","",MONTH(B77))</f>
        <v/>
      </c>
      <c r="R77" s="20" t="str">
        <f aca="false">IF(OR(J77="",J77=0),"",MIN(1,K77/J77))</f>
        <v/>
      </c>
      <c r="S77" s="21" t="str">
        <f aca="true">IF(H77="","",IF(I77="",MAX(0,TODAY()-H77),MAX(0,I77-H77)))</f>
        <v/>
      </c>
      <c r="T77" s="14" t="str">
        <f aca="false">IF(OR(H77="",I77=""),"",IF(I77&lt;=H77,"S","N"))</f>
        <v/>
      </c>
      <c r="U77" s="14" t="str">
        <f aca="false">IF(A77="","",IF(AND(N77="S",O77="S",P77="S"),"S","N"))</f>
        <v/>
      </c>
      <c r="V77" s="13"/>
      <c r="W77" s="18"/>
      <c r="X77" s="19" t="str">
        <f aca="false">IF(W77="","",W77-G77)</f>
        <v/>
      </c>
      <c r="Y77" s="14" t="str">
        <f aca="true">IF(A77="","",IF(K77=0,IF(AND(H77&lt;&gt;"",TODAY()&gt;H77),"Vencida","Pendiente"),IF(K77&lt;J77,"Parcial","Completa")))</f>
        <v/>
      </c>
      <c r="Z77" s="16"/>
      <c r="AA77" s="13"/>
      <c r="AB77" s="14" t="str">
        <f aca="false">IF(W77="","Sin factura",IF(ABS(X77)&lt;=0.01,"OK","Revisar"))</f>
        <v>Sin factura</v>
      </c>
      <c r="AC77" s="13"/>
      <c r="AD77" s="14" t="str">
        <f aca="false">IF(A77="","",IF(L77="N","Producto no conforme",IF(M77="N","Falta registro sanitario",IF(OR(Y77="Parcial",Y77="Vencida"),IF(Z77="","Reprogramar recepción","Reprogramada "&amp;TEXT(Z77,"dd/mm")),IF(Y77="Pendiente","En espera",IF(U77="N","Completar documentos",IF(AB77="Revisar","Revisar importe facturado",IF(AC77&lt;&gt;"S","Registrar en Kontrollers","OK"))))))))</f>
        <v/>
      </c>
      <c r="AE77" s="13"/>
    </row>
    <row r="78" customFormat="false" ht="15" hidden="false" customHeight="false" outlineLevel="0" collapsed="false">
      <c r="A78" s="13"/>
      <c r="B78" s="16"/>
      <c r="C78" s="13"/>
      <c r="D78" s="13"/>
      <c r="E78" s="13"/>
      <c r="F78" s="13"/>
      <c r="G78" s="18"/>
      <c r="H78" s="16"/>
      <c r="I78" s="16"/>
      <c r="J78" s="17"/>
      <c r="K78" s="17"/>
      <c r="L78" s="13"/>
      <c r="M78" s="13"/>
      <c r="N78" s="13"/>
      <c r="O78" s="13"/>
      <c r="P78" s="13"/>
      <c r="Q78" s="14" t="str">
        <f aca="false">IF(B78="","",MONTH(B78))</f>
        <v/>
      </c>
      <c r="R78" s="20" t="str">
        <f aca="false">IF(OR(J78="",J78=0),"",MIN(1,K78/J78))</f>
        <v/>
      </c>
      <c r="S78" s="21" t="str">
        <f aca="true">IF(H78="","",IF(I78="",MAX(0,TODAY()-H78),MAX(0,I78-H78)))</f>
        <v/>
      </c>
      <c r="T78" s="14" t="str">
        <f aca="false">IF(OR(H78="",I78=""),"",IF(I78&lt;=H78,"S","N"))</f>
        <v/>
      </c>
      <c r="U78" s="14" t="str">
        <f aca="false">IF(A78="","",IF(AND(N78="S",O78="S",P78="S"),"S","N"))</f>
        <v/>
      </c>
      <c r="V78" s="13"/>
      <c r="W78" s="18"/>
      <c r="X78" s="19" t="str">
        <f aca="false">IF(W78="","",W78-G78)</f>
        <v/>
      </c>
      <c r="Y78" s="14" t="str">
        <f aca="true">IF(A78="","",IF(K78=0,IF(AND(H78&lt;&gt;"",TODAY()&gt;H78),"Vencida","Pendiente"),IF(K78&lt;J78,"Parcial","Completa")))</f>
        <v/>
      </c>
      <c r="Z78" s="16"/>
      <c r="AA78" s="13"/>
      <c r="AB78" s="14" t="str">
        <f aca="false">IF(W78="","Sin factura",IF(ABS(X78)&lt;=0.01,"OK","Revisar"))</f>
        <v>Sin factura</v>
      </c>
      <c r="AC78" s="13"/>
      <c r="AD78" s="14" t="str">
        <f aca="false">IF(A78="","",IF(L78="N","Producto no conforme",IF(M78="N","Falta registro sanitario",IF(OR(Y78="Parcial",Y78="Vencida"),IF(Z78="","Reprogramar recepción","Reprogramada "&amp;TEXT(Z78,"dd/mm")),IF(Y78="Pendiente","En espera",IF(U78="N","Completar documentos",IF(AB78="Revisar","Revisar importe facturado",IF(AC78&lt;&gt;"S","Registrar en Kontrollers","OK"))))))))</f>
        <v/>
      </c>
      <c r="AE78" s="13"/>
    </row>
    <row r="79" customFormat="false" ht="15" hidden="false" customHeight="false" outlineLevel="0" collapsed="false">
      <c r="A79" s="13"/>
      <c r="B79" s="16"/>
      <c r="C79" s="13"/>
      <c r="D79" s="13"/>
      <c r="E79" s="13"/>
      <c r="F79" s="13"/>
      <c r="G79" s="18"/>
      <c r="H79" s="16"/>
      <c r="I79" s="16"/>
      <c r="J79" s="17"/>
      <c r="K79" s="17"/>
      <c r="L79" s="13"/>
      <c r="M79" s="13"/>
      <c r="N79" s="13"/>
      <c r="O79" s="13"/>
      <c r="P79" s="13"/>
      <c r="Q79" s="14" t="str">
        <f aca="false">IF(B79="","",MONTH(B79))</f>
        <v/>
      </c>
      <c r="R79" s="20" t="str">
        <f aca="false">IF(OR(J79="",J79=0),"",MIN(1,K79/J79))</f>
        <v/>
      </c>
      <c r="S79" s="21" t="str">
        <f aca="true">IF(H79="","",IF(I79="",MAX(0,TODAY()-H79),MAX(0,I79-H79)))</f>
        <v/>
      </c>
      <c r="T79" s="14" t="str">
        <f aca="false">IF(OR(H79="",I79=""),"",IF(I79&lt;=H79,"S","N"))</f>
        <v/>
      </c>
      <c r="U79" s="14" t="str">
        <f aca="false">IF(A79="","",IF(AND(N79="S",O79="S",P79="S"),"S","N"))</f>
        <v/>
      </c>
      <c r="V79" s="13"/>
      <c r="W79" s="18"/>
      <c r="X79" s="19" t="str">
        <f aca="false">IF(W79="","",W79-G79)</f>
        <v/>
      </c>
      <c r="Y79" s="14" t="str">
        <f aca="true">IF(A79="","",IF(K79=0,IF(AND(H79&lt;&gt;"",TODAY()&gt;H79),"Vencida","Pendiente"),IF(K79&lt;J79,"Parcial","Completa")))</f>
        <v/>
      </c>
      <c r="Z79" s="16"/>
      <c r="AA79" s="13"/>
      <c r="AB79" s="14" t="str">
        <f aca="false">IF(W79="","Sin factura",IF(ABS(X79)&lt;=0.01,"OK","Revisar"))</f>
        <v>Sin factura</v>
      </c>
      <c r="AC79" s="13"/>
      <c r="AD79" s="14" t="str">
        <f aca="false">IF(A79="","",IF(L79="N","Producto no conforme",IF(M79="N","Falta registro sanitario",IF(OR(Y79="Parcial",Y79="Vencida"),IF(Z79="","Reprogramar recepción","Reprogramada "&amp;TEXT(Z79,"dd/mm")),IF(Y79="Pendiente","En espera",IF(U79="N","Completar documentos",IF(AB79="Revisar","Revisar importe facturado",IF(AC79&lt;&gt;"S","Registrar en Kontrollers","OK"))))))))</f>
        <v/>
      </c>
      <c r="AE79" s="13"/>
    </row>
    <row r="80" customFormat="false" ht="15" hidden="false" customHeight="false" outlineLevel="0" collapsed="false">
      <c r="A80" s="13"/>
      <c r="B80" s="16"/>
      <c r="C80" s="13"/>
      <c r="D80" s="13"/>
      <c r="E80" s="13"/>
      <c r="F80" s="13"/>
      <c r="G80" s="18"/>
      <c r="H80" s="16"/>
      <c r="I80" s="16"/>
      <c r="J80" s="17"/>
      <c r="K80" s="17"/>
      <c r="L80" s="13"/>
      <c r="M80" s="13"/>
      <c r="N80" s="13"/>
      <c r="O80" s="13"/>
      <c r="P80" s="13"/>
      <c r="Q80" s="14" t="str">
        <f aca="false">IF(B80="","",MONTH(B80))</f>
        <v/>
      </c>
      <c r="R80" s="20" t="str">
        <f aca="false">IF(OR(J80="",J80=0),"",MIN(1,K80/J80))</f>
        <v/>
      </c>
      <c r="S80" s="21" t="str">
        <f aca="true">IF(H80="","",IF(I80="",MAX(0,TODAY()-H80),MAX(0,I80-H80)))</f>
        <v/>
      </c>
      <c r="T80" s="14" t="str">
        <f aca="false">IF(OR(H80="",I80=""),"",IF(I80&lt;=H80,"S","N"))</f>
        <v/>
      </c>
      <c r="U80" s="14" t="str">
        <f aca="false">IF(A80="","",IF(AND(N80="S",O80="S",P80="S"),"S","N"))</f>
        <v/>
      </c>
      <c r="V80" s="13"/>
      <c r="W80" s="18"/>
      <c r="X80" s="19" t="str">
        <f aca="false">IF(W80="","",W80-G80)</f>
        <v/>
      </c>
      <c r="Y80" s="14" t="str">
        <f aca="true">IF(A80="","",IF(K80=0,IF(AND(H80&lt;&gt;"",TODAY()&gt;H80),"Vencida","Pendiente"),IF(K80&lt;J80,"Parcial","Completa")))</f>
        <v/>
      </c>
      <c r="Z80" s="16"/>
      <c r="AA80" s="13"/>
      <c r="AB80" s="14" t="str">
        <f aca="false">IF(W80="","Sin factura",IF(ABS(X80)&lt;=0.01,"OK","Revisar"))</f>
        <v>Sin factura</v>
      </c>
      <c r="AC80" s="13"/>
      <c r="AD80" s="14" t="str">
        <f aca="false">IF(A80="","",IF(L80="N","Producto no conforme",IF(M80="N","Falta registro sanitario",IF(OR(Y80="Parcial",Y80="Vencida"),IF(Z80="","Reprogramar recepción","Reprogramada "&amp;TEXT(Z80,"dd/mm")),IF(Y80="Pendiente","En espera",IF(U80="N","Completar documentos",IF(AB80="Revisar","Revisar importe facturado",IF(AC80&lt;&gt;"S","Registrar en Kontrollers","OK"))))))))</f>
        <v/>
      </c>
      <c r="AE80" s="13"/>
    </row>
    <row r="81" customFormat="false" ht="15" hidden="false" customHeight="false" outlineLevel="0" collapsed="false">
      <c r="A81" s="13"/>
      <c r="B81" s="16"/>
      <c r="C81" s="13"/>
      <c r="D81" s="13"/>
      <c r="E81" s="13"/>
      <c r="F81" s="13"/>
      <c r="G81" s="18"/>
      <c r="H81" s="16"/>
      <c r="I81" s="16"/>
      <c r="J81" s="17"/>
      <c r="K81" s="17"/>
      <c r="L81" s="13"/>
      <c r="M81" s="13"/>
      <c r="N81" s="13"/>
      <c r="O81" s="13"/>
      <c r="P81" s="13"/>
      <c r="Q81" s="14" t="str">
        <f aca="false">IF(B81="","",MONTH(B81))</f>
        <v/>
      </c>
      <c r="R81" s="20" t="str">
        <f aca="false">IF(OR(J81="",J81=0),"",MIN(1,K81/J81))</f>
        <v/>
      </c>
      <c r="S81" s="21" t="str">
        <f aca="true">IF(H81="","",IF(I81="",MAX(0,TODAY()-H81),MAX(0,I81-H81)))</f>
        <v/>
      </c>
      <c r="T81" s="14" t="str">
        <f aca="false">IF(OR(H81="",I81=""),"",IF(I81&lt;=H81,"S","N"))</f>
        <v/>
      </c>
      <c r="U81" s="14" t="str">
        <f aca="false">IF(A81="","",IF(AND(N81="S",O81="S",P81="S"),"S","N"))</f>
        <v/>
      </c>
      <c r="V81" s="13"/>
      <c r="W81" s="18"/>
      <c r="X81" s="19" t="str">
        <f aca="false">IF(W81="","",W81-G81)</f>
        <v/>
      </c>
      <c r="Y81" s="14" t="str">
        <f aca="true">IF(A81="","",IF(K81=0,IF(AND(H81&lt;&gt;"",TODAY()&gt;H81),"Vencida","Pendiente"),IF(K81&lt;J81,"Parcial","Completa")))</f>
        <v/>
      </c>
      <c r="Z81" s="16"/>
      <c r="AA81" s="13"/>
      <c r="AB81" s="14" t="str">
        <f aca="false">IF(W81="","Sin factura",IF(ABS(X81)&lt;=0.01,"OK","Revisar"))</f>
        <v>Sin factura</v>
      </c>
      <c r="AC81" s="13"/>
      <c r="AD81" s="14" t="str">
        <f aca="false">IF(A81="","",IF(L81="N","Producto no conforme",IF(M81="N","Falta registro sanitario",IF(OR(Y81="Parcial",Y81="Vencida"),IF(Z81="","Reprogramar recepción","Reprogramada "&amp;TEXT(Z81,"dd/mm")),IF(Y81="Pendiente","En espera",IF(U81="N","Completar documentos",IF(AB81="Revisar","Revisar importe facturado",IF(AC81&lt;&gt;"S","Registrar en Kontrollers","OK"))))))))</f>
        <v/>
      </c>
      <c r="AE81" s="13"/>
    </row>
    <row r="82" customFormat="false" ht="15" hidden="false" customHeight="false" outlineLevel="0" collapsed="false">
      <c r="A82" s="13"/>
      <c r="B82" s="16"/>
      <c r="C82" s="13"/>
      <c r="D82" s="13"/>
      <c r="E82" s="13"/>
      <c r="F82" s="13"/>
      <c r="G82" s="18"/>
      <c r="H82" s="16"/>
      <c r="I82" s="16"/>
      <c r="J82" s="17"/>
      <c r="K82" s="17"/>
      <c r="L82" s="13"/>
      <c r="M82" s="13"/>
      <c r="N82" s="13"/>
      <c r="O82" s="13"/>
      <c r="P82" s="13"/>
      <c r="Q82" s="14" t="str">
        <f aca="false">IF(B82="","",MONTH(B82))</f>
        <v/>
      </c>
      <c r="R82" s="20" t="str">
        <f aca="false">IF(OR(J82="",J82=0),"",MIN(1,K82/J82))</f>
        <v/>
      </c>
      <c r="S82" s="21" t="str">
        <f aca="true">IF(H82="","",IF(I82="",MAX(0,TODAY()-H82),MAX(0,I82-H82)))</f>
        <v/>
      </c>
      <c r="T82" s="14" t="str">
        <f aca="false">IF(OR(H82="",I82=""),"",IF(I82&lt;=H82,"S","N"))</f>
        <v/>
      </c>
      <c r="U82" s="14" t="str">
        <f aca="false">IF(A82="","",IF(AND(N82="S",O82="S",P82="S"),"S","N"))</f>
        <v/>
      </c>
      <c r="V82" s="13"/>
      <c r="W82" s="18"/>
      <c r="X82" s="19" t="str">
        <f aca="false">IF(W82="","",W82-G82)</f>
        <v/>
      </c>
      <c r="Y82" s="14" t="str">
        <f aca="true">IF(A82="","",IF(K82=0,IF(AND(H82&lt;&gt;"",TODAY()&gt;H82),"Vencida","Pendiente"),IF(K82&lt;J82,"Parcial","Completa")))</f>
        <v/>
      </c>
      <c r="Z82" s="16"/>
      <c r="AA82" s="13"/>
      <c r="AB82" s="14" t="str">
        <f aca="false">IF(W82="","Sin factura",IF(ABS(X82)&lt;=0.01,"OK","Revisar"))</f>
        <v>Sin factura</v>
      </c>
      <c r="AC82" s="13"/>
      <c r="AD82" s="14" t="str">
        <f aca="false">IF(A82="","",IF(L82="N","Producto no conforme",IF(M82="N","Falta registro sanitario",IF(OR(Y82="Parcial",Y82="Vencida"),IF(Z82="","Reprogramar recepción","Reprogramada "&amp;TEXT(Z82,"dd/mm")),IF(Y82="Pendiente","En espera",IF(U82="N","Completar documentos",IF(AB82="Revisar","Revisar importe facturado",IF(AC82&lt;&gt;"S","Registrar en Kontrollers","OK"))))))))</f>
        <v/>
      </c>
      <c r="AE82" s="13"/>
    </row>
    <row r="83" customFormat="false" ht="15" hidden="false" customHeight="false" outlineLevel="0" collapsed="false">
      <c r="A83" s="13"/>
      <c r="B83" s="16"/>
      <c r="C83" s="13"/>
      <c r="D83" s="13"/>
      <c r="E83" s="13"/>
      <c r="F83" s="13"/>
      <c r="G83" s="18"/>
      <c r="H83" s="16"/>
      <c r="I83" s="16"/>
      <c r="J83" s="17"/>
      <c r="K83" s="17"/>
      <c r="L83" s="13"/>
      <c r="M83" s="13"/>
      <c r="N83" s="13"/>
      <c r="O83" s="13"/>
      <c r="P83" s="13"/>
      <c r="Q83" s="14" t="str">
        <f aca="false">IF(B83="","",MONTH(B83))</f>
        <v/>
      </c>
      <c r="R83" s="20" t="str">
        <f aca="false">IF(OR(J83="",J83=0),"",MIN(1,K83/J83))</f>
        <v/>
      </c>
      <c r="S83" s="21" t="str">
        <f aca="true">IF(H83="","",IF(I83="",MAX(0,TODAY()-H83),MAX(0,I83-H83)))</f>
        <v/>
      </c>
      <c r="T83" s="14" t="str">
        <f aca="false">IF(OR(H83="",I83=""),"",IF(I83&lt;=H83,"S","N"))</f>
        <v/>
      </c>
      <c r="U83" s="14" t="str">
        <f aca="false">IF(A83="","",IF(AND(N83="S",O83="S",P83="S"),"S","N"))</f>
        <v/>
      </c>
      <c r="V83" s="13"/>
      <c r="W83" s="18"/>
      <c r="X83" s="19" t="str">
        <f aca="false">IF(W83="","",W83-G83)</f>
        <v/>
      </c>
      <c r="Y83" s="14" t="str">
        <f aca="true">IF(A83="","",IF(K83=0,IF(AND(H83&lt;&gt;"",TODAY()&gt;H83),"Vencida","Pendiente"),IF(K83&lt;J83,"Parcial","Completa")))</f>
        <v/>
      </c>
      <c r="Z83" s="16"/>
      <c r="AA83" s="13"/>
      <c r="AB83" s="14" t="str">
        <f aca="false">IF(W83="","Sin factura",IF(ABS(X83)&lt;=0.01,"OK","Revisar"))</f>
        <v>Sin factura</v>
      </c>
      <c r="AC83" s="13"/>
      <c r="AD83" s="14" t="str">
        <f aca="false">IF(A83="","",IF(L83="N","Producto no conforme",IF(M83="N","Falta registro sanitario",IF(OR(Y83="Parcial",Y83="Vencida"),IF(Z83="","Reprogramar recepción","Reprogramada "&amp;TEXT(Z83,"dd/mm")),IF(Y83="Pendiente","En espera",IF(U83="N","Completar documentos",IF(AB83="Revisar","Revisar importe facturado",IF(AC83&lt;&gt;"S","Registrar en Kontrollers","OK"))))))))</f>
        <v/>
      </c>
      <c r="AE83" s="13"/>
    </row>
    <row r="84" customFormat="false" ht="15" hidden="false" customHeight="false" outlineLevel="0" collapsed="false">
      <c r="A84" s="13"/>
      <c r="B84" s="16"/>
      <c r="C84" s="13"/>
      <c r="D84" s="13"/>
      <c r="E84" s="13"/>
      <c r="F84" s="13"/>
      <c r="G84" s="18"/>
      <c r="H84" s="16"/>
      <c r="I84" s="16"/>
      <c r="J84" s="17"/>
      <c r="K84" s="17"/>
      <c r="L84" s="13"/>
      <c r="M84" s="13"/>
      <c r="N84" s="13"/>
      <c r="O84" s="13"/>
      <c r="P84" s="13"/>
      <c r="Q84" s="14" t="str">
        <f aca="false">IF(B84="","",MONTH(B84))</f>
        <v/>
      </c>
      <c r="R84" s="20" t="str">
        <f aca="false">IF(OR(J84="",J84=0),"",MIN(1,K84/J84))</f>
        <v/>
      </c>
      <c r="S84" s="21" t="str">
        <f aca="true">IF(H84="","",IF(I84="",MAX(0,TODAY()-H84),MAX(0,I84-H84)))</f>
        <v/>
      </c>
      <c r="T84" s="14" t="str">
        <f aca="false">IF(OR(H84="",I84=""),"",IF(I84&lt;=H84,"S","N"))</f>
        <v/>
      </c>
      <c r="U84" s="14" t="str">
        <f aca="false">IF(A84="","",IF(AND(N84="S",O84="S",P84="S"),"S","N"))</f>
        <v/>
      </c>
      <c r="V84" s="13"/>
      <c r="W84" s="18"/>
      <c r="X84" s="19" t="str">
        <f aca="false">IF(W84="","",W84-G84)</f>
        <v/>
      </c>
      <c r="Y84" s="14" t="str">
        <f aca="true">IF(A84="","",IF(K84=0,IF(AND(H84&lt;&gt;"",TODAY()&gt;H84),"Vencida","Pendiente"),IF(K84&lt;J84,"Parcial","Completa")))</f>
        <v/>
      </c>
      <c r="Z84" s="16"/>
      <c r="AA84" s="13"/>
      <c r="AB84" s="14" t="str">
        <f aca="false">IF(W84="","Sin factura",IF(ABS(X84)&lt;=0.01,"OK","Revisar"))</f>
        <v>Sin factura</v>
      </c>
      <c r="AC84" s="13"/>
      <c r="AD84" s="14" t="str">
        <f aca="false">IF(A84="","",IF(L84="N","Producto no conforme",IF(M84="N","Falta registro sanitario",IF(OR(Y84="Parcial",Y84="Vencida"),IF(Z84="","Reprogramar recepción","Reprogramada "&amp;TEXT(Z84,"dd/mm")),IF(Y84="Pendiente","En espera",IF(U84="N","Completar documentos",IF(AB84="Revisar","Revisar importe facturado",IF(AC84&lt;&gt;"S","Registrar en Kontrollers","OK"))))))))</f>
        <v/>
      </c>
      <c r="AE84" s="13"/>
    </row>
    <row r="85" customFormat="false" ht="15" hidden="false" customHeight="false" outlineLevel="0" collapsed="false">
      <c r="A85" s="13"/>
      <c r="B85" s="16"/>
      <c r="C85" s="13"/>
      <c r="D85" s="13"/>
      <c r="E85" s="13"/>
      <c r="F85" s="13"/>
      <c r="G85" s="18"/>
      <c r="H85" s="16"/>
      <c r="I85" s="16"/>
      <c r="J85" s="17"/>
      <c r="K85" s="17"/>
      <c r="L85" s="13"/>
      <c r="M85" s="13"/>
      <c r="N85" s="13"/>
      <c r="O85" s="13"/>
      <c r="P85" s="13"/>
      <c r="Q85" s="14" t="str">
        <f aca="false">IF(B85="","",MONTH(B85))</f>
        <v/>
      </c>
      <c r="R85" s="20" t="str">
        <f aca="false">IF(OR(J85="",J85=0),"",MIN(1,K85/J85))</f>
        <v/>
      </c>
      <c r="S85" s="21" t="str">
        <f aca="true">IF(H85="","",IF(I85="",MAX(0,TODAY()-H85),MAX(0,I85-H85)))</f>
        <v/>
      </c>
      <c r="T85" s="14" t="str">
        <f aca="false">IF(OR(H85="",I85=""),"",IF(I85&lt;=H85,"S","N"))</f>
        <v/>
      </c>
      <c r="U85" s="14" t="str">
        <f aca="false">IF(A85="","",IF(AND(N85="S",O85="S",P85="S"),"S","N"))</f>
        <v/>
      </c>
      <c r="V85" s="13"/>
      <c r="W85" s="18"/>
      <c r="X85" s="19" t="str">
        <f aca="false">IF(W85="","",W85-G85)</f>
        <v/>
      </c>
      <c r="Y85" s="14" t="str">
        <f aca="true">IF(A85="","",IF(K85=0,IF(AND(H85&lt;&gt;"",TODAY()&gt;H85),"Vencida","Pendiente"),IF(K85&lt;J85,"Parcial","Completa")))</f>
        <v/>
      </c>
      <c r="Z85" s="16"/>
      <c r="AA85" s="13"/>
      <c r="AB85" s="14" t="str">
        <f aca="false">IF(W85="","Sin factura",IF(ABS(X85)&lt;=0.01,"OK","Revisar"))</f>
        <v>Sin factura</v>
      </c>
      <c r="AC85" s="13"/>
      <c r="AD85" s="14" t="str">
        <f aca="false">IF(A85="","",IF(L85="N","Producto no conforme",IF(M85="N","Falta registro sanitario",IF(OR(Y85="Parcial",Y85="Vencida"),IF(Z85="","Reprogramar recepción","Reprogramada "&amp;TEXT(Z85,"dd/mm")),IF(Y85="Pendiente","En espera",IF(U85="N","Completar documentos",IF(AB85="Revisar","Revisar importe facturado",IF(AC85&lt;&gt;"S","Registrar en Kontrollers","OK"))))))))</f>
        <v/>
      </c>
      <c r="AE85" s="13"/>
    </row>
    <row r="86" customFormat="false" ht="15" hidden="false" customHeight="false" outlineLevel="0" collapsed="false">
      <c r="A86" s="13"/>
      <c r="B86" s="16"/>
      <c r="C86" s="13"/>
      <c r="D86" s="13"/>
      <c r="E86" s="13"/>
      <c r="F86" s="13"/>
      <c r="G86" s="18"/>
      <c r="H86" s="16"/>
      <c r="I86" s="16"/>
      <c r="J86" s="17"/>
      <c r="K86" s="17"/>
      <c r="L86" s="13"/>
      <c r="M86" s="13"/>
      <c r="N86" s="13"/>
      <c r="O86" s="13"/>
      <c r="P86" s="13"/>
      <c r="Q86" s="14" t="str">
        <f aca="false">IF(B86="","",MONTH(B86))</f>
        <v/>
      </c>
      <c r="R86" s="20" t="str">
        <f aca="false">IF(OR(J86="",J86=0),"",MIN(1,K86/J86))</f>
        <v/>
      </c>
      <c r="S86" s="21" t="str">
        <f aca="true">IF(H86="","",IF(I86="",MAX(0,TODAY()-H86),MAX(0,I86-H86)))</f>
        <v/>
      </c>
      <c r="T86" s="14" t="str">
        <f aca="false">IF(OR(H86="",I86=""),"",IF(I86&lt;=H86,"S","N"))</f>
        <v/>
      </c>
      <c r="U86" s="14" t="str">
        <f aca="false">IF(A86="","",IF(AND(N86="S",O86="S",P86="S"),"S","N"))</f>
        <v/>
      </c>
      <c r="V86" s="13"/>
      <c r="W86" s="18"/>
      <c r="X86" s="19" t="str">
        <f aca="false">IF(W86="","",W86-G86)</f>
        <v/>
      </c>
      <c r="Y86" s="14" t="str">
        <f aca="true">IF(A86="","",IF(K86=0,IF(AND(H86&lt;&gt;"",TODAY()&gt;H86),"Vencida","Pendiente"),IF(K86&lt;J86,"Parcial","Completa")))</f>
        <v/>
      </c>
      <c r="Z86" s="16"/>
      <c r="AA86" s="13"/>
      <c r="AB86" s="14" t="str">
        <f aca="false">IF(W86="","Sin factura",IF(ABS(X86)&lt;=0.01,"OK","Revisar"))</f>
        <v>Sin factura</v>
      </c>
      <c r="AC86" s="13"/>
      <c r="AD86" s="14" t="str">
        <f aca="false">IF(A86="","",IF(L86="N","Producto no conforme",IF(M86="N","Falta registro sanitario",IF(OR(Y86="Parcial",Y86="Vencida"),IF(Z86="","Reprogramar recepción","Reprogramada "&amp;TEXT(Z86,"dd/mm")),IF(Y86="Pendiente","En espera",IF(U86="N","Completar documentos",IF(AB86="Revisar","Revisar importe facturado",IF(AC86&lt;&gt;"S","Registrar en Kontrollers","OK"))))))))</f>
        <v/>
      </c>
      <c r="AE86" s="13"/>
    </row>
    <row r="87" customFormat="false" ht="15" hidden="false" customHeight="false" outlineLevel="0" collapsed="false">
      <c r="A87" s="13"/>
      <c r="B87" s="16"/>
      <c r="C87" s="13"/>
      <c r="D87" s="13"/>
      <c r="E87" s="13"/>
      <c r="F87" s="13"/>
      <c r="G87" s="18"/>
      <c r="H87" s="16"/>
      <c r="I87" s="16"/>
      <c r="J87" s="17"/>
      <c r="K87" s="17"/>
      <c r="L87" s="13"/>
      <c r="M87" s="13"/>
      <c r="N87" s="13"/>
      <c r="O87" s="13"/>
      <c r="P87" s="13"/>
      <c r="Q87" s="14" t="str">
        <f aca="false">IF(B87="","",MONTH(B87))</f>
        <v/>
      </c>
      <c r="R87" s="20" t="str">
        <f aca="false">IF(OR(J87="",J87=0),"",MIN(1,K87/J87))</f>
        <v/>
      </c>
      <c r="S87" s="21" t="str">
        <f aca="true">IF(H87="","",IF(I87="",MAX(0,TODAY()-H87),MAX(0,I87-H87)))</f>
        <v/>
      </c>
      <c r="T87" s="14" t="str">
        <f aca="false">IF(OR(H87="",I87=""),"",IF(I87&lt;=H87,"S","N"))</f>
        <v/>
      </c>
      <c r="U87" s="14" t="str">
        <f aca="false">IF(A87="","",IF(AND(N87="S",O87="S",P87="S"),"S","N"))</f>
        <v/>
      </c>
      <c r="V87" s="13"/>
      <c r="W87" s="18"/>
      <c r="X87" s="19" t="str">
        <f aca="false">IF(W87="","",W87-G87)</f>
        <v/>
      </c>
      <c r="Y87" s="14" t="str">
        <f aca="true">IF(A87="","",IF(K87=0,IF(AND(H87&lt;&gt;"",TODAY()&gt;H87),"Vencida","Pendiente"),IF(K87&lt;J87,"Parcial","Completa")))</f>
        <v/>
      </c>
      <c r="Z87" s="16"/>
      <c r="AA87" s="13"/>
      <c r="AB87" s="14" t="str">
        <f aca="false">IF(W87="","Sin factura",IF(ABS(X87)&lt;=0.01,"OK","Revisar"))</f>
        <v>Sin factura</v>
      </c>
      <c r="AC87" s="13"/>
      <c r="AD87" s="14" t="str">
        <f aca="false">IF(A87="","",IF(L87="N","Producto no conforme",IF(M87="N","Falta registro sanitario",IF(OR(Y87="Parcial",Y87="Vencida"),IF(Z87="","Reprogramar recepción","Reprogramada "&amp;TEXT(Z87,"dd/mm")),IF(Y87="Pendiente","En espera",IF(U87="N","Completar documentos",IF(AB87="Revisar","Revisar importe facturado",IF(AC87&lt;&gt;"S","Registrar en Kontrollers","OK"))))))))</f>
        <v/>
      </c>
      <c r="AE87" s="13"/>
    </row>
    <row r="88" customFormat="false" ht="15" hidden="false" customHeight="false" outlineLevel="0" collapsed="false">
      <c r="A88" s="13"/>
      <c r="B88" s="16"/>
      <c r="C88" s="13"/>
      <c r="D88" s="13"/>
      <c r="E88" s="13"/>
      <c r="F88" s="13"/>
      <c r="G88" s="18"/>
      <c r="H88" s="16"/>
      <c r="I88" s="16"/>
      <c r="J88" s="17"/>
      <c r="K88" s="17"/>
      <c r="L88" s="13"/>
      <c r="M88" s="13"/>
      <c r="N88" s="13"/>
      <c r="O88" s="13"/>
      <c r="P88" s="13"/>
      <c r="Q88" s="14" t="str">
        <f aca="false">IF(B88="","",MONTH(B88))</f>
        <v/>
      </c>
      <c r="R88" s="20" t="str">
        <f aca="false">IF(OR(J88="",J88=0),"",MIN(1,K88/J88))</f>
        <v/>
      </c>
      <c r="S88" s="21" t="str">
        <f aca="true">IF(H88="","",IF(I88="",MAX(0,TODAY()-H88),MAX(0,I88-H88)))</f>
        <v/>
      </c>
      <c r="T88" s="14" t="str">
        <f aca="false">IF(OR(H88="",I88=""),"",IF(I88&lt;=H88,"S","N"))</f>
        <v/>
      </c>
      <c r="U88" s="14" t="str">
        <f aca="false">IF(A88="","",IF(AND(N88="S",O88="S",P88="S"),"S","N"))</f>
        <v/>
      </c>
      <c r="V88" s="13"/>
      <c r="W88" s="18"/>
      <c r="X88" s="19" t="str">
        <f aca="false">IF(W88="","",W88-G88)</f>
        <v/>
      </c>
      <c r="Y88" s="14" t="str">
        <f aca="true">IF(A88="","",IF(K88=0,IF(AND(H88&lt;&gt;"",TODAY()&gt;H88),"Vencida","Pendiente"),IF(K88&lt;J88,"Parcial","Completa")))</f>
        <v/>
      </c>
      <c r="Z88" s="16"/>
      <c r="AA88" s="13"/>
      <c r="AB88" s="14" t="str">
        <f aca="false">IF(W88="","Sin factura",IF(ABS(X88)&lt;=0.01,"OK","Revisar"))</f>
        <v>Sin factura</v>
      </c>
      <c r="AC88" s="13"/>
      <c r="AD88" s="14" t="str">
        <f aca="false">IF(A88="","",IF(L88="N","Producto no conforme",IF(M88="N","Falta registro sanitario",IF(OR(Y88="Parcial",Y88="Vencida"),IF(Z88="","Reprogramar recepción","Reprogramada "&amp;TEXT(Z88,"dd/mm")),IF(Y88="Pendiente","En espera",IF(U88="N","Completar documentos",IF(AB88="Revisar","Revisar importe facturado",IF(AC88&lt;&gt;"S","Registrar en Kontrollers","OK"))))))))</f>
        <v/>
      </c>
      <c r="AE88" s="13"/>
    </row>
    <row r="89" customFormat="false" ht="15" hidden="false" customHeight="false" outlineLevel="0" collapsed="false">
      <c r="A89" s="13"/>
      <c r="B89" s="16"/>
      <c r="C89" s="13"/>
      <c r="D89" s="13"/>
      <c r="E89" s="13"/>
      <c r="F89" s="13"/>
      <c r="G89" s="18"/>
      <c r="H89" s="16"/>
      <c r="I89" s="16"/>
      <c r="J89" s="17"/>
      <c r="K89" s="17"/>
      <c r="L89" s="13"/>
      <c r="M89" s="13"/>
      <c r="N89" s="13"/>
      <c r="O89" s="13"/>
      <c r="P89" s="13"/>
      <c r="Q89" s="14" t="str">
        <f aca="false">IF(B89="","",MONTH(B89))</f>
        <v/>
      </c>
      <c r="R89" s="20" t="str">
        <f aca="false">IF(OR(J89="",J89=0),"",MIN(1,K89/J89))</f>
        <v/>
      </c>
      <c r="S89" s="21" t="str">
        <f aca="true">IF(H89="","",IF(I89="",MAX(0,TODAY()-H89),MAX(0,I89-H89)))</f>
        <v/>
      </c>
      <c r="T89" s="14" t="str">
        <f aca="false">IF(OR(H89="",I89=""),"",IF(I89&lt;=H89,"S","N"))</f>
        <v/>
      </c>
      <c r="U89" s="14" t="str">
        <f aca="false">IF(A89="","",IF(AND(N89="S",O89="S",P89="S"),"S","N"))</f>
        <v/>
      </c>
      <c r="V89" s="13"/>
      <c r="W89" s="18"/>
      <c r="X89" s="19" t="str">
        <f aca="false">IF(W89="","",W89-G89)</f>
        <v/>
      </c>
      <c r="Y89" s="14" t="str">
        <f aca="true">IF(A89="","",IF(K89=0,IF(AND(H89&lt;&gt;"",TODAY()&gt;H89),"Vencida","Pendiente"),IF(K89&lt;J89,"Parcial","Completa")))</f>
        <v/>
      </c>
      <c r="Z89" s="16"/>
      <c r="AA89" s="13"/>
      <c r="AB89" s="14" t="str">
        <f aca="false">IF(W89="","Sin factura",IF(ABS(X89)&lt;=0.01,"OK","Revisar"))</f>
        <v>Sin factura</v>
      </c>
      <c r="AC89" s="13"/>
      <c r="AD89" s="14" t="str">
        <f aca="false">IF(A89="","",IF(L89="N","Producto no conforme",IF(M89="N","Falta registro sanitario",IF(OR(Y89="Parcial",Y89="Vencida"),IF(Z89="","Reprogramar recepción","Reprogramada "&amp;TEXT(Z89,"dd/mm")),IF(Y89="Pendiente","En espera",IF(U89="N","Completar documentos",IF(AB89="Revisar","Revisar importe facturado",IF(AC89&lt;&gt;"S","Registrar en Kontrollers","OK"))))))))</f>
        <v/>
      </c>
      <c r="AE89" s="13"/>
    </row>
    <row r="90" customFormat="false" ht="15" hidden="false" customHeight="false" outlineLevel="0" collapsed="false">
      <c r="A90" s="13"/>
      <c r="B90" s="16"/>
      <c r="C90" s="13"/>
      <c r="D90" s="13"/>
      <c r="E90" s="13"/>
      <c r="F90" s="13"/>
      <c r="G90" s="18"/>
      <c r="H90" s="16"/>
      <c r="I90" s="16"/>
      <c r="J90" s="17"/>
      <c r="K90" s="17"/>
      <c r="L90" s="13"/>
      <c r="M90" s="13"/>
      <c r="N90" s="13"/>
      <c r="O90" s="13"/>
      <c r="P90" s="13"/>
      <c r="Q90" s="14" t="str">
        <f aca="false">IF(B90="","",MONTH(B90))</f>
        <v/>
      </c>
      <c r="R90" s="20" t="str">
        <f aca="false">IF(OR(J90="",J90=0),"",MIN(1,K90/J90))</f>
        <v/>
      </c>
      <c r="S90" s="21" t="str">
        <f aca="true">IF(H90="","",IF(I90="",MAX(0,TODAY()-H90),MAX(0,I90-H90)))</f>
        <v/>
      </c>
      <c r="T90" s="14" t="str">
        <f aca="false">IF(OR(H90="",I90=""),"",IF(I90&lt;=H90,"S","N"))</f>
        <v/>
      </c>
      <c r="U90" s="14" t="str">
        <f aca="false">IF(A90="","",IF(AND(N90="S",O90="S",P90="S"),"S","N"))</f>
        <v/>
      </c>
      <c r="V90" s="13"/>
      <c r="W90" s="18"/>
      <c r="X90" s="19" t="str">
        <f aca="false">IF(W90="","",W90-G90)</f>
        <v/>
      </c>
      <c r="Y90" s="14" t="str">
        <f aca="true">IF(A90="","",IF(K90=0,IF(AND(H90&lt;&gt;"",TODAY()&gt;H90),"Vencida","Pendiente"),IF(K90&lt;J90,"Parcial","Completa")))</f>
        <v/>
      </c>
      <c r="Z90" s="16"/>
      <c r="AA90" s="13"/>
      <c r="AB90" s="14" t="str">
        <f aca="false">IF(W90="","Sin factura",IF(ABS(X90)&lt;=0.01,"OK","Revisar"))</f>
        <v>Sin factura</v>
      </c>
      <c r="AC90" s="13"/>
      <c r="AD90" s="14" t="str">
        <f aca="false">IF(A90="","",IF(L90="N","Producto no conforme",IF(M90="N","Falta registro sanitario",IF(OR(Y90="Parcial",Y90="Vencida"),IF(Z90="","Reprogramar recepción","Reprogramada "&amp;TEXT(Z90,"dd/mm")),IF(Y90="Pendiente","En espera",IF(U90="N","Completar documentos",IF(AB90="Revisar","Revisar importe facturado",IF(AC90&lt;&gt;"S","Registrar en Kontrollers","OK"))))))))</f>
        <v/>
      </c>
      <c r="AE90" s="13"/>
    </row>
    <row r="91" customFormat="false" ht="15" hidden="false" customHeight="false" outlineLevel="0" collapsed="false">
      <c r="A91" s="13"/>
      <c r="B91" s="16"/>
      <c r="C91" s="13"/>
      <c r="D91" s="13"/>
      <c r="E91" s="13"/>
      <c r="F91" s="13"/>
      <c r="G91" s="18"/>
      <c r="H91" s="16"/>
      <c r="I91" s="16"/>
      <c r="J91" s="17"/>
      <c r="K91" s="17"/>
      <c r="L91" s="13"/>
      <c r="M91" s="13"/>
      <c r="N91" s="13"/>
      <c r="O91" s="13"/>
      <c r="P91" s="13"/>
      <c r="Q91" s="14" t="str">
        <f aca="false">IF(B91="","",MONTH(B91))</f>
        <v/>
      </c>
      <c r="R91" s="20" t="str">
        <f aca="false">IF(OR(J91="",J91=0),"",MIN(1,K91/J91))</f>
        <v/>
      </c>
      <c r="S91" s="21" t="str">
        <f aca="true">IF(H91="","",IF(I91="",MAX(0,TODAY()-H91),MAX(0,I91-H91)))</f>
        <v/>
      </c>
      <c r="T91" s="14" t="str">
        <f aca="false">IF(OR(H91="",I91=""),"",IF(I91&lt;=H91,"S","N"))</f>
        <v/>
      </c>
      <c r="U91" s="14" t="str">
        <f aca="false">IF(A91="","",IF(AND(N91="S",O91="S",P91="S"),"S","N"))</f>
        <v/>
      </c>
      <c r="V91" s="13"/>
      <c r="W91" s="18"/>
      <c r="X91" s="19" t="str">
        <f aca="false">IF(W91="","",W91-G91)</f>
        <v/>
      </c>
      <c r="Y91" s="14" t="str">
        <f aca="true">IF(A91="","",IF(K91=0,IF(AND(H91&lt;&gt;"",TODAY()&gt;H91),"Vencida","Pendiente"),IF(K91&lt;J91,"Parcial","Completa")))</f>
        <v/>
      </c>
      <c r="Z91" s="16"/>
      <c r="AA91" s="13"/>
      <c r="AB91" s="14" t="str">
        <f aca="false">IF(W91="","Sin factura",IF(ABS(X91)&lt;=0.01,"OK","Revisar"))</f>
        <v>Sin factura</v>
      </c>
      <c r="AC91" s="13"/>
      <c r="AD91" s="14" t="str">
        <f aca="false">IF(A91="","",IF(L91="N","Producto no conforme",IF(M91="N","Falta registro sanitario",IF(OR(Y91="Parcial",Y91="Vencida"),IF(Z91="","Reprogramar recepción","Reprogramada "&amp;TEXT(Z91,"dd/mm")),IF(Y91="Pendiente","En espera",IF(U91="N","Completar documentos",IF(AB91="Revisar","Revisar importe facturado",IF(AC91&lt;&gt;"S","Registrar en Kontrollers","OK"))))))))</f>
        <v/>
      </c>
      <c r="AE91" s="13"/>
    </row>
    <row r="92" customFormat="false" ht="15" hidden="false" customHeight="false" outlineLevel="0" collapsed="false">
      <c r="A92" s="13"/>
      <c r="B92" s="16"/>
      <c r="C92" s="13"/>
      <c r="D92" s="13"/>
      <c r="E92" s="13"/>
      <c r="F92" s="13"/>
      <c r="G92" s="18"/>
      <c r="H92" s="16"/>
      <c r="I92" s="16"/>
      <c r="J92" s="17"/>
      <c r="K92" s="17"/>
      <c r="L92" s="13"/>
      <c r="M92" s="13"/>
      <c r="N92" s="13"/>
      <c r="O92" s="13"/>
      <c r="P92" s="13"/>
      <c r="Q92" s="14" t="str">
        <f aca="false">IF(B92="","",MONTH(B92))</f>
        <v/>
      </c>
      <c r="R92" s="20" t="str">
        <f aca="false">IF(OR(J92="",J92=0),"",MIN(1,K92/J92))</f>
        <v/>
      </c>
      <c r="S92" s="21" t="str">
        <f aca="true">IF(H92="","",IF(I92="",MAX(0,TODAY()-H92),MAX(0,I92-H92)))</f>
        <v/>
      </c>
      <c r="T92" s="14" t="str">
        <f aca="false">IF(OR(H92="",I92=""),"",IF(I92&lt;=H92,"S","N"))</f>
        <v/>
      </c>
      <c r="U92" s="14" t="str">
        <f aca="false">IF(A92="","",IF(AND(N92="S",O92="S",P92="S"),"S","N"))</f>
        <v/>
      </c>
      <c r="V92" s="13"/>
      <c r="W92" s="18"/>
      <c r="X92" s="19" t="str">
        <f aca="false">IF(W92="","",W92-G92)</f>
        <v/>
      </c>
      <c r="Y92" s="14" t="str">
        <f aca="true">IF(A92="","",IF(K92=0,IF(AND(H92&lt;&gt;"",TODAY()&gt;H92),"Vencida","Pendiente"),IF(K92&lt;J92,"Parcial","Completa")))</f>
        <v/>
      </c>
      <c r="Z92" s="16"/>
      <c r="AA92" s="13"/>
      <c r="AB92" s="14" t="str">
        <f aca="false">IF(W92="","Sin factura",IF(ABS(X92)&lt;=0.01,"OK","Revisar"))</f>
        <v>Sin factura</v>
      </c>
      <c r="AC92" s="13"/>
      <c r="AD92" s="14" t="str">
        <f aca="false">IF(A92="","",IF(L92="N","Producto no conforme",IF(M92="N","Falta registro sanitario",IF(OR(Y92="Parcial",Y92="Vencida"),IF(Z92="","Reprogramar recepción","Reprogramada "&amp;TEXT(Z92,"dd/mm")),IF(Y92="Pendiente","En espera",IF(U92="N","Completar documentos",IF(AB92="Revisar","Revisar importe facturado",IF(AC92&lt;&gt;"S","Registrar en Kontrollers","OK"))))))))</f>
        <v/>
      </c>
      <c r="AE92" s="13"/>
    </row>
    <row r="93" customFormat="false" ht="15" hidden="false" customHeight="false" outlineLevel="0" collapsed="false">
      <c r="A93" s="13"/>
      <c r="B93" s="16"/>
      <c r="C93" s="13"/>
      <c r="D93" s="13"/>
      <c r="E93" s="13"/>
      <c r="F93" s="13"/>
      <c r="G93" s="18"/>
      <c r="H93" s="16"/>
      <c r="I93" s="16"/>
      <c r="J93" s="17"/>
      <c r="K93" s="17"/>
      <c r="L93" s="13"/>
      <c r="M93" s="13"/>
      <c r="N93" s="13"/>
      <c r="O93" s="13"/>
      <c r="P93" s="13"/>
      <c r="Q93" s="14" t="str">
        <f aca="false">IF(B93="","",MONTH(B93))</f>
        <v/>
      </c>
      <c r="R93" s="20" t="str">
        <f aca="false">IF(OR(J93="",J93=0),"",MIN(1,K93/J93))</f>
        <v/>
      </c>
      <c r="S93" s="21" t="str">
        <f aca="true">IF(H93="","",IF(I93="",MAX(0,TODAY()-H93),MAX(0,I93-H93)))</f>
        <v/>
      </c>
      <c r="T93" s="14" t="str">
        <f aca="false">IF(OR(H93="",I93=""),"",IF(I93&lt;=H93,"S","N"))</f>
        <v/>
      </c>
      <c r="U93" s="14" t="str">
        <f aca="false">IF(A93="","",IF(AND(N93="S",O93="S",P93="S"),"S","N"))</f>
        <v/>
      </c>
      <c r="V93" s="13"/>
      <c r="W93" s="18"/>
      <c r="X93" s="19" t="str">
        <f aca="false">IF(W93="","",W93-G93)</f>
        <v/>
      </c>
      <c r="Y93" s="14" t="str">
        <f aca="true">IF(A93="","",IF(K93=0,IF(AND(H93&lt;&gt;"",TODAY()&gt;H93),"Vencida","Pendiente"),IF(K93&lt;J93,"Parcial","Completa")))</f>
        <v/>
      </c>
      <c r="Z93" s="16"/>
      <c r="AA93" s="13"/>
      <c r="AB93" s="14" t="str">
        <f aca="false">IF(W93="","Sin factura",IF(ABS(X93)&lt;=0.01,"OK","Revisar"))</f>
        <v>Sin factura</v>
      </c>
      <c r="AC93" s="13"/>
      <c r="AD93" s="14" t="str">
        <f aca="false">IF(A93="","",IF(L93="N","Producto no conforme",IF(M93="N","Falta registro sanitario",IF(OR(Y93="Parcial",Y93="Vencida"),IF(Z93="","Reprogramar recepción","Reprogramada "&amp;TEXT(Z93,"dd/mm")),IF(Y93="Pendiente","En espera",IF(U93="N","Completar documentos",IF(AB93="Revisar","Revisar importe facturado",IF(AC93&lt;&gt;"S","Registrar en Kontrollers","OK"))))))))</f>
        <v/>
      </c>
      <c r="AE93" s="13"/>
    </row>
    <row r="94" customFormat="false" ht="15" hidden="false" customHeight="false" outlineLevel="0" collapsed="false">
      <c r="A94" s="13"/>
      <c r="B94" s="16"/>
      <c r="C94" s="13"/>
      <c r="D94" s="13"/>
      <c r="E94" s="13"/>
      <c r="F94" s="13"/>
      <c r="G94" s="18"/>
      <c r="H94" s="16"/>
      <c r="I94" s="16"/>
      <c r="J94" s="17"/>
      <c r="K94" s="17"/>
      <c r="L94" s="13"/>
      <c r="M94" s="13"/>
      <c r="N94" s="13"/>
      <c r="O94" s="13"/>
      <c r="P94" s="13"/>
      <c r="Q94" s="14" t="str">
        <f aca="false">IF(B94="","",MONTH(B94))</f>
        <v/>
      </c>
      <c r="R94" s="20" t="str">
        <f aca="false">IF(OR(J94="",J94=0),"",MIN(1,K94/J94))</f>
        <v/>
      </c>
      <c r="S94" s="21" t="str">
        <f aca="true">IF(H94="","",IF(I94="",MAX(0,TODAY()-H94),MAX(0,I94-H94)))</f>
        <v/>
      </c>
      <c r="T94" s="14" t="str">
        <f aca="false">IF(OR(H94="",I94=""),"",IF(I94&lt;=H94,"S","N"))</f>
        <v/>
      </c>
      <c r="U94" s="14" t="str">
        <f aca="false">IF(A94="","",IF(AND(N94="S",O94="S",P94="S"),"S","N"))</f>
        <v/>
      </c>
      <c r="V94" s="13"/>
      <c r="W94" s="18"/>
      <c r="X94" s="19" t="str">
        <f aca="false">IF(W94="","",W94-G94)</f>
        <v/>
      </c>
      <c r="Y94" s="14" t="str">
        <f aca="true">IF(A94="","",IF(K94=0,IF(AND(H94&lt;&gt;"",TODAY()&gt;H94),"Vencida","Pendiente"),IF(K94&lt;J94,"Parcial","Completa")))</f>
        <v/>
      </c>
      <c r="Z94" s="16"/>
      <c r="AA94" s="13"/>
      <c r="AB94" s="14" t="str">
        <f aca="false">IF(W94="","Sin factura",IF(ABS(X94)&lt;=0.01,"OK","Revisar"))</f>
        <v>Sin factura</v>
      </c>
      <c r="AC94" s="13"/>
      <c r="AD94" s="14" t="str">
        <f aca="false">IF(A94="","",IF(L94="N","Producto no conforme",IF(M94="N","Falta registro sanitario",IF(OR(Y94="Parcial",Y94="Vencida"),IF(Z94="","Reprogramar recepción","Reprogramada "&amp;TEXT(Z94,"dd/mm")),IF(Y94="Pendiente","En espera",IF(U94="N","Completar documentos",IF(AB94="Revisar","Revisar importe facturado",IF(AC94&lt;&gt;"S","Registrar en Kontrollers","OK"))))))))</f>
        <v/>
      </c>
      <c r="AE94" s="13"/>
    </row>
    <row r="95" customFormat="false" ht="15" hidden="false" customHeight="false" outlineLevel="0" collapsed="false">
      <c r="A95" s="13"/>
      <c r="B95" s="16"/>
      <c r="C95" s="13"/>
      <c r="D95" s="13"/>
      <c r="E95" s="13"/>
      <c r="F95" s="13"/>
      <c r="G95" s="18"/>
      <c r="H95" s="16"/>
      <c r="I95" s="16"/>
      <c r="J95" s="17"/>
      <c r="K95" s="17"/>
      <c r="L95" s="13"/>
      <c r="M95" s="13"/>
      <c r="N95" s="13"/>
      <c r="O95" s="13"/>
      <c r="P95" s="13"/>
      <c r="Q95" s="14" t="str">
        <f aca="false">IF(B95="","",MONTH(B95))</f>
        <v/>
      </c>
      <c r="R95" s="20" t="str">
        <f aca="false">IF(OR(J95="",J95=0),"",MIN(1,K95/J95))</f>
        <v/>
      </c>
      <c r="S95" s="21" t="str">
        <f aca="true">IF(H95="","",IF(I95="",MAX(0,TODAY()-H95),MAX(0,I95-H95)))</f>
        <v/>
      </c>
      <c r="T95" s="14" t="str">
        <f aca="false">IF(OR(H95="",I95=""),"",IF(I95&lt;=H95,"S","N"))</f>
        <v/>
      </c>
      <c r="U95" s="14" t="str">
        <f aca="false">IF(A95="","",IF(AND(N95="S",O95="S",P95="S"),"S","N"))</f>
        <v/>
      </c>
      <c r="V95" s="13"/>
      <c r="W95" s="18"/>
      <c r="X95" s="19" t="str">
        <f aca="false">IF(W95="","",W95-G95)</f>
        <v/>
      </c>
      <c r="Y95" s="14" t="str">
        <f aca="true">IF(A95="","",IF(K95=0,IF(AND(H95&lt;&gt;"",TODAY()&gt;H95),"Vencida","Pendiente"),IF(K95&lt;J95,"Parcial","Completa")))</f>
        <v/>
      </c>
      <c r="Z95" s="16"/>
      <c r="AA95" s="13"/>
      <c r="AB95" s="14" t="str">
        <f aca="false">IF(W95="","Sin factura",IF(ABS(X95)&lt;=0.01,"OK","Revisar"))</f>
        <v>Sin factura</v>
      </c>
      <c r="AC95" s="13"/>
      <c r="AD95" s="14" t="str">
        <f aca="false">IF(A95="","",IF(L95="N","Producto no conforme",IF(M95="N","Falta registro sanitario",IF(OR(Y95="Parcial",Y95="Vencida"),IF(Z95="","Reprogramar recepción","Reprogramada "&amp;TEXT(Z95,"dd/mm")),IF(Y95="Pendiente","En espera",IF(U95="N","Completar documentos",IF(AB95="Revisar","Revisar importe facturado",IF(AC95&lt;&gt;"S","Registrar en Kontrollers","OK"))))))))</f>
        <v/>
      </c>
      <c r="AE95" s="13"/>
    </row>
    <row r="96" customFormat="false" ht="15" hidden="false" customHeight="false" outlineLevel="0" collapsed="false">
      <c r="A96" s="13"/>
      <c r="B96" s="16"/>
      <c r="C96" s="13"/>
      <c r="D96" s="13"/>
      <c r="E96" s="13"/>
      <c r="F96" s="13"/>
      <c r="G96" s="18"/>
      <c r="H96" s="16"/>
      <c r="I96" s="16"/>
      <c r="J96" s="17"/>
      <c r="K96" s="17"/>
      <c r="L96" s="13"/>
      <c r="M96" s="13"/>
      <c r="N96" s="13"/>
      <c r="O96" s="13"/>
      <c r="P96" s="13"/>
      <c r="Q96" s="14" t="str">
        <f aca="false">IF(B96="","",MONTH(B96))</f>
        <v/>
      </c>
      <c r="R96" s="20" t="str">
        <f aca="false">IF(OR(J96="",J96=0),"",MIN(1,K96/J96))</f>
        <v/>
      </c>
      <c r="S96" s="21" t="str">
        <f aca="true">IF(H96="","",IF(I96="",MAX(0,TODAY()-H96),MAX(0,I96-H96)))</f>
        <v/>
      </c>
      <c r="T96" s="14" t="str">
        <f aca="false">IF(OR(H96="",I96=""),"",IF(I96&lt;=H96,"S","N"))</f>
        <v/>
      </c>
      <c r="U96" s="14" t="str">
        <f aca="false">IF(A96="","",IF(AND(N96="S",O96="S",P96="S"),"S","N"))</f>
        <v/>
      </c>
      <c r="V96" s="13"/>
      <c r="W96" s="18"/>
      <c r="X96" s="19" t="str">
        <f aca="false">IF(W96="","",W96-G96)</f>
        <v/>
      </c>
      <c r="Y96" s="14" t="str">
        <f aca="true">IF(A96="","",IF(K96=0,IF(AND(H96&lt;&gt;"",TODAY()&gt;H96),"Vencida","Pendiente"),IF(K96&lt;J96,"Parcial","Completa")))</f>
        <v/>
      </c>
      <c r="Z96" s="16"/>
      <c r="AA96" s="13"/>
      <c r="AB96" s="14" t="str">
        <f aca="false">IF(W96="","Sin factura",IF(ABS(X96)&lt;=0.01,"OK","Revisar"))</f>
        <v>Sin factura</v>
      </c>
      <c r="AC96" s="13"/>
      <c r="AD96" s="14" t="str">
        <f aca="false">IF(A96="","",IF(L96="N","Producto no conforme",IF(M96="N","Falta registro sanitario",IF(OR(Y96="Parcial",Y96="Vencida"),IF(Z96="","Reprogramar recepción","Reprogramada "&amp;TEXT(Z96,"dd/mm")),IF(Y96="Pendiente","En espera",IF(U96="N","Completar documentos",IF(AB96="Revisar","Revisar importe facturado",IF(AC96&lt;&gt;"S","Registrar en Kontrollers","OK"))))))))</f>
        <v/>
      </c>
      <c r="AE96" s="13"/>
    </row>
    <row r="97" customFormat="false" ht="15" hidden="false" customHeight="false" outlineLevel="0" collapsed="false">
      <c r="A97" s="13"/>
      <c r="B97" s="16"/>
      <c r="C97" s="13"/>
      <c r="D97" s="13"/>
      <c r="E97" s="13"/>
      <c r="F97" s="13"/>
      <c r="G97" s="18"/>
      <c r="H97" s="16"/>
      <c r="I97" s="16"/>
      <c r="J97" s="17"/>
      <c r="K97" s="17"/>
      <c r="L97" s="13"/>
      <c r="M97" s="13"/>
      <c r="N97" s="13"/>
      <c r="O97" s="13"/>
      <c r="P97" s="13"/>
      <c r="Q97" s="14" t="str">
        <f aca="false">IF(B97="","",MONTH(B97))</f>
        <v/>
      </c>
      <c r="R97" s="20" t="str">
        <f aca="false">IF(OR(J97="",J97=0),"",MIN(1,K97/J97))</f>
        <v/>
      </c>
      <c r="S97" s="21" t="str">
        <f aca="true">IF(H97="","",IF(I97="",MAX(0,TODAY()-H97),MAX(0,I97-H97)))</f>
        <v/>
      </c>
      <c r="T97" s="14" t="str">
        <f aca="false">IF(OR(H97="",I97=""),"",IF(I97&lt;=H97,"S","N"))</f>
        <v/>
      </c>
      <c r="U97" s="14" t="str">
        <f aca="false">IF(A97="","",IF(AND(N97="S",O97="S",P97="S"),"S","N"))</f>
        <v/>
      </c>
      <c r="V97" s="13"/>
      <c r="W97" s="18"/>
      <c r="X97" s="19" t="str">
        <f aca="false">IF(W97="","",W97-G97)</f>
        <v/>
      </c>
      <c r="Y97" s="14" t="str">
        <f aca="true">IF(A97="","",IF(K97=0,IF(AND(H97&lt;&gt;"",TODAY()&gt;H97),"Vencida","Pendiente"),IF(K97&lt;J97,"Parcial","Completa")))</f>
        <v/>
      </c>
      <c r="Z97" s="16"/>
      <c r="AA97" s="13"/>
      <c r="AB97" s="14" t="str">
        <f aca="false">IF(W97="","Sin factura",IF(ABS(X97)&lt;=0.01,"OK","Revisar"))</f>
        <v>Sin factura</v>
      </c>
      <c r="AC97" s="13"/>
      <c r="AD97" s="14" t="str">
        <f aca="false">IF(A97="","",IF(L97="N","Producto no conforme",IF(M97="N","Falta registro sanitario",IF(OR(Y97="Parcial",Y97="Vencida"),IF(Z97="","Reprogramar recepción","Reprogramada "&amp;TEXT(Z97,"dd/mm")),IF(Y97="Pendiente","En espera",IF(U97="N","Completar documentos",IF(AB97="Revisar","Revisar importe facturado",IF(AC97&lt;&gt;"S","Registrar en Kontrollers","OK"))))))))</f>
        <v/>
      </c>
      <c r="AE97" s="13"/>
    </row>
    <row r="98" customFormat="false" ht="15" hidden="false" customHeight="false" outlineLevel="0" collapsed="false">
      <c r="A98" s="13"/>
      <c r="B98" s="16"/>
      <c r="C98" s="13"/>
      <c r="D98" s="13"/>
      <c r="E98" s="13"/>
      <c r="F98" s="13"/>
      <c r="G98" s="18"/>
      <c r="H98" s="16"/>
      <c r="I98" s="16"/>
      <c r="J98" s="17"/>
      <c r="K98" s="17"/>
      <c r="L98" s="13"/>
      <c r="M98" s="13"/>
      <c r="N98" s="13"/>
      <c r="O98" s="13"/>
      <c r="P98" s="13"/>
      <c r="Q98" s="14" t="str">
        <f aca="false">IF(B98="","",MONTH(B98))</f>
        <v/>
      </c>
      <c r="R98" s="20" t="str">
        <f aca="false">IF(OR(J98="",J98=0),"",MIN(1,K98/J98))</f>
        <v/>
      </c>
      <c r="S98" s="21" t="str">
        <f aca="true">IF(H98="","",IF(I98="",MAX(0,TODAY()-H98),MAX(0,I98-H98)))</f>
        <v/>
      </c>
      <c r="T98" s="14" t="str">
        <f aca="false">IF(OR(H98="",I98=""),"",IF(I98&lt;=H98,"S","N"))</f>
        <v/>
      </c>
      <c r="U98" s="14" t="str">
        <f aca="false">IF(A98="","",IF(AND(N98="S",O98="S",P98="S"),"S","N"))</f>
        <v/>
      </c>
      <c r="V98" s="13"/>
      <c r="W98" s="18"/>
      <c r="X98" s="19" t="str">
        <f aca="false">IF(W98="","",W98-G98)</f>
        <v/>
      </c>
      <c r="Y98" s="14" t="str">
        <f aca="true">IF(A98="","",IF(K98=0,IF(AND(H98&lt;&gt;"",TODAY()&gt;H98),"Vencida","Pendiente"),IF(K98&lt;J98,"Parcial","Completa")))</f>
        <v/>
      </c>
      <c r="Z98" s="16"/>
      <c r="AA98" s="13"/>
      <c r="AB98" s="14" t="str">
        <f aca="false">IF(W98="","Sin factura",IF(ABS(X98)&lt;=0.01,"OK","Revisar"))</f>
        <v>Sin factura</v>
      </c>
      <c r="AC98" s="13"/>
      <c r="AD98" s="14" t="str">
        <f aca="false">IF(A98="","",IF(L98="N","Producto no conforme",IF(M98="N","Falta registro sanitario",IF(OR(Y98="Parcial",Y98="Vencida"),IF(Z98="","Reprogramar recepción","Reprogramada "&amp;TEXT(Z98,"dd/mm")),IF(Y98="Pendiente","En espera",IF(U98="N","Completar documentos",IF(AB98="Revisar","Revisar importe facturado",IF(AC98&lt;&gt;"S","Registrar en Kontrollers","OK"))))))))</f>
        <v/>
      </c>
      <c r="AE98" s="13"/>
    </row>
    <row r="99" customFormat="false" ht="15" hidden="false" customHeight="false" outlineLevel="0" collapsed="false">
      <c r="A99" s="13"/>
      <c r="B99" s="16"/>
      <c r="C99" s="13"/>
      <c r="D99" s="13"/>
      <c r="E99" s="13"/>
      <c r="F99" s="13"/>
      <c r="G99" s="18"/>
      <c r="H99" s="16"/>
      <c r="I99" s="16"/>
      <c r="J99" s="17"/>
      <c r="K99" s="17"/>
      <c r="L99" s="13"/>
      <c r="M99" s="13"/>
      <c r="N99" s="13"/>
      <c r="O99" s="13"/>
      <c r="P99" s="13"/>
      <c r="Q99" s="14" t="str">
        <f aca="false">IF(B99="","",MONTH(B99))</f>
        <v/>
      </c>
      <c r="R99" s="20" t="str">
        <f aca="false">IF(OR(J99="",J99=0),"",MIN(1,K99/J99))</f>
        <v/>
      </c>
      <c r="S99" s="21" t="str">
        <f aca="true">IF(H99="","",IF(I99="",MAX(0,TODAY()-H99),MAX(0,I99-H99)))</f>
        <v/>
      </c>
      <c r="T99" s="14" t="str">
        <f aca="false">IF(OR(H99="",I99=""),"",IF(I99&lt;=H99,"S","N"))</f>
        <v/>
      </c>
      <c r="U99" s="14" t="str">
        <f aca="false">IF(A99="","",IF(AND(N99="S",O99="S",P99="S"),"S","N"))</f>
        <v/>
      </c>
      <c r="V99" s="13"/>
      <c r="W99" s="18"/>
      <c r="X99" s="19" t="str">
        <f aca="false">IF(W99="","",W99-G99)</f>
        <v/>
      </c>
      <c r="Y99" s="14" t="str">
        <f aca="true">IF(A99="","",IF(K99=0,IF(AND(H99&lt;&gt;"",TODAY()&gt;H99),"Vencida","Pendiente"),IF(K99&lt;J99,"Parcial","Completa")))</f>
        <v/>
      </c>
      <c r="Z99" s="16"/>
      <c r="AA99" s="13"/>
      <c r="AB99" s="14" t="str">
        <f aca="false">IF(W99="","Sin factura",IF(ABS(X99)&lt;=0.01,"OK","Revisar"))</f>
        <v>Sin factura</v>
      </c>
      <c r="AC99" s="13"/>
      <c r="AD99" s="14" t="str">
        <f aca="false">IF(A99="","",IF(L99="N","Producto no conforme",IF(M99="N","Falta registro sanitario",IF(OR(Y99="Parcial",Y99="Vencida"),IF(Z99="","Reprogramar recepción","Reprogramada "&amp;TEXT(Z99,"dd/mm")),IF(Y99="Pendiente","En espera",IF(U99="N","Completar documentos",IF(AB99="Revisar","Revisar importe facturado",IF(AC99&lt;&gt;"S","Registrar en Kontrollers","OK"))))))))</f>
        <v/>
      </c>
      <c r="AE99" s="13"/>
    </row>
    <row r="100" customFormat="false" ht="15" hidden="false" customHeight="false" outlineLevel="0" collapsed="false">
      <c r="A100" s="13"/>
      <c r="B100" s="16"/>
      <c r="C100" s="13"/>
      <c r="D100" s="13"/>
      <c r="E100" s="13"/>
      <c r="F100" s="13"/>
      <c r="G100" s="18"/>
      <c r="H100" s="16"/>
      <c r="I100" s="16"/>
      <c r="J100" s="17"/>
      <c r="K100" s="17"/>
      <c r="L100" s="13"/>
      <c r="M100" s="13"/>
      <c r="N100" s="13"/>
      <c r="O100" s="13"/>
      <c r="P100" s="13"/>
      <c r="Q100" s="14" t="str">
        <f aca="false">IF(B100="","",MONTH(B100))</f>
        <v/>
      </c>
      <c r="R100" s="20" t="str">
        <f aca="false">IF(OR(J100="",J100=0),"",MIN(1,K100/J100))</f>
        <v/>
      </c>
      <c r="S100" s="21" t="str">
        <f aca="true">IF(H100="","",IF(I100="",MAX(0,TODAY()-H100),MAX(0,I100-H100)))</f>
        <v/>
      </c>
      <c r="T100" s="14" t="str">
        <f aca="false">IF(OR(H100="",I100=""),"",IF(I100&lt;=H100,"S","N"))</f>
        <v/>
      </c>
      <c r="U100" s="14" t="str">
        <f aca="false">IF(A100="","",IF(AND(N100="S",O100="S",P100="S"),"S","N"))</f>
        <v/>
      </c>
      <c r="V100" s="13"/>
      <c r="W100" s="18"/>
      <c r="X100" s="19" t="str">
        <f aca="false">IF(W100="","",W100-G100)</f>
        <v/>
      </c>
      <c r="Y100" s="14" t="str">
        <f aca="true">IF(A100="","",IF(K100=0,IF(AND(H100&lt;&gt;"",TODAY()&gt;H100),"Vencida","Pendiente"),IF(K100&lt;J100,"Parcial","Completa")))</f>
        <v/>
      </c>
      <c r="Z100" s="16"/>
      <c r="AA100" s="13"/>
      <c r="AB100" s="14" t="str">
        <f aca="false">IF(W100="","Sin factura",IF(ABS(X100)&lt;=0.01,"OK","Revisar"))</f>
        <v>Sin factura</v>
      </c>
      <c r="AC100" s="13"/>
      <c r="AD100" s="14" t="str">
        <f aca="false">IF(A100="","",IF(L100="N","Producto no conforme",IF(M100="N","Falta registro sanitario",IF(OR(Y100="Parcial",Y100="Vencida"),IF(Z100="","Reprogramar recepción","Reprogramada "&amp;TEXT(Z100,"dd/mm")),IF(Y100="Pendiente","En espera",IF(U100="N","Completar documentos",IF(AB100="Revisar","Revisar importe facturado",IF(AC100&lt;&gt;"S","Registrar en Kontrollers","OK"))))))))</f>
        <v/>
      </c>
      <c r="AE100" s="13"/>
    </row>
    <row r="101" customFormat="false" ht="15" hidden="false" customHeight="false" outlineLevel="0" collapsed="false">
      <c r="A101" s="13"/>
      <c r="B101" s="16"/>
      <c r="C101" s="13"/>
      <c r="D101" s="13"/>
      <c r="E101" s="13"/>
      <c r="F101" s="13"/>
      <c r="G101" s="18"/>
      <c r="H101" s="16"/>
      <c r="I101" s="16"/>
      <c r="J101" s="17"/>
      <c r="K101" s="17"/>
      <c r="L101" s="13"/>
      <c r="M101" s="13"/>
      <c r="N101" s="13"/>
      <c r="O101" s="13"/>
      <c r="P101" s="13"/>
      <c r="Q101" s="14" t="str">
        <f aca="false">IF(B101="","",MONTH(B101))</f>
        <v/>
      </c>
      <c r="R101" s="20" t="str">
        <f aca="false">IF(OR(J101="",J101=0),"",MIN(1,K101/J101))</f>
        <v/>
      </c>
      <c r="S101" s="21" t="str">
        <f aca="true">IF(H101="","",IF(I101="",MAX(0,TODAY()-H101),MAX(0,I101-H101)))</f>
        <v/>
      </c>
      <c r="T101" s="14" t="str">
        <f aca="false">IF(OR(H101="",I101=""),"",IF(I101&lt;=H101,"S","N"))</f>
        <v/>
      </c>
      <c r="U101" s="14" t="str">
        <f aca="false">IF(A101="","",IF(AND(N101="S",O101="S",P101="S"),"S","N"))</f>
        <v/>
      </c>
      <c r="V101" s="13"/>
      <c r="W101" s="18"/>
      <c r="X101" s="19" t="str">
        <f aca="false">IF(W101="","",W101-G101)</f>
        <v/>
      </c>
      <c r="Y101" s="14" t="str">
        <f aca="true">IF(A101="","",IF(K101=0,IF(AND(H101&lt;&gt;"",TODAY()&gt;H101),"Vencida","Pendiente"),IF(K101&lt;J101,"Parcial","Completa")))</f>
        <v/>
      </c>
      <c r="Z101" s="16"/>
      <c r="AA101" s="13"/>
      <c r="AB101" s="14" t="str">
        <f aca="false">IF(W101="","Sin factura",IF(ABS(X101)&lt;=0.01,"OK","Revisar"))</f>
        <v>Sin factura</v>
      </c>
      <c r="AC101" s="13"/>
      <c r="AD101" s="14" t="str">
        <f aca="false">IF(A101="","",IF(L101="N","Producto no conforme",IF(M101="N","Falta registro sanitario",IF(OR(Y101="Parcial",Y101="Vencida"),IF(Z101="","Reprogramar recepción","Reprogramada "&amp;TEXT(Z101,"dd/mm")),IF(Y101="Pendiente","En espera",IF(U101="N","Completar documentos",IF(AB101="Revisar","Revisar importe facturado",IF(AC101&lt;&gt;"S","Registrar en Kontrollers","OK"))))))))</f>
        <v/>
      </c>
      <c r="AE101" s="13"/>
    </row>
    <row r="102" customFormat="false" ht="15" hidden="false" customHeight="false" outlineLevel="0" collapsed="false">
      <c r="A102" s="13"/>
      <c r="B102" s="16"/>
      <c r="C102" s="13"/>
      <c r="D102" s="13"/>
      <c r="E102" s="13"/>
      <c r="F102" s="13"/>
      <c r="G102" s="18"/>
      <c r="H102" s="16"/>
      <c r="I102" s="16"/>
      <c r="J102" s="17"/>
      <c r="K102" s="17"/>
      <c r="L102" s="13"/>
      <c r="M102" s="13"/>
      <c r="N102" s="13"/>
      <c r="O102" s="13"/>
      <c r="P102" s="13"/>
      <c r="Q102" s="14" t="str">
        <f aca="false">IF(B102="","",MONTH(B102))</f>
        <v/>
      </c>
      <c r="R102" s="20" t="str">
        <f aca="false">IF(OR(J102="",J102=0),"",MIN(1,K102/J102))</f>
        <v/>
      </c>
      <c r="S102" s="21" t="str">
        <f aca="true">IF(H102="","",IF(I102="",MAX(0,TODAY()-H102),MAX(0,I102-H102)))</f>
        <v/>
      </c>
      <c r="T102" s="14" t="str">
        <f aca="false">IF(OR(H102="",I102=""),"",IF(I102&lt;=H102,"S","N"))</f>
        <v/>
      </c>
      <c r="U102" s="14" t="str">
        <f aca="false">IF(A102="","",IF(AND(N102="S",O102="S",P102="S"),"S","N"))</f>
        <v/>
      </c>
      <c r="V102" s="13"/>
      <c r="W102" s="18"/>
      <c r="X102" s="19" t="str">
        <f aca="false">IF(W102="","",W102-G102)</f>
        <v/>
      </c>
      <c r="Y102" s="14" t="str">
        <f aca="true">IF(A102="","",IF(K102=0,IF(AND(H102&lt;&gt;"",TODAY()&gt;H102),"Vencida","Pendiente"),IF(K102&lt;J102,"Parcial","Completa")))</f>
        <v/>
      </c>
      <c r="Z102" s="16"/>
      <c r="AA102" s="13"/>
      <c r="AB102" s="14" t="str">
        <f aca="false">IF(W102="","Sin factura",IF(ABS(X102)&lt;=0.01,"OK","Revisar"))</f>
        <v>Sin factura</v>
      </c>
      <c r="AC102" s="13"/>
      <c r="AD102" s="14" t="str">
        <f aca="false">IF(A102="","",IF(L102="N","Producto no conforme",IF(M102="N","Falta registro sanitario",IF(OR(Y102="Parcial",Y102="Vencida"),IF(Z102="","Reprogramar recepción","Reprogramada "&amp;TEXT(Z102,"dd/mm")),IF(Y102="Pendiente","En espera",IF(U102="N","Completar documentos",IF(AB102="Revisar","Revisar importe facturado",IF(AC102&lt;&gt;"S","Registrar en Kontrollers","OK"))))))))</f>
        <v/>
      </c>
      <c r="AE102" s="13"/>
    </row>
    <row r="103" customFormat="false" ht="15" hidden="false" customHeight="false" outlineLevel="0" collapsed="false">
      <c r="A103" s="13"/>
      <c r="B103" s="16"/>
      <c r="C103" s="13"/>
      <c r="D103" s="13"/>
      <c r="E103" s="13"/>
      <c r="F103" s="13"/>
      <c r="G103" s="18"/>
      <c r="H103" s="16"/>
      <c r="I103" s="16"/>
      <c r="J103" s="17"/>
      <c r="K103" s="17"/>
      <c r="L103" s="13"/>
      <c r="M103" s="13"/>
      <c r="N103" s="13"/>
      <c r="O103" s="13"/>
      <c r="P103" s="13"/>
      <c r="Q103" s="14" t="str">
        <f aca="false">IF(B103="","",MONTH(B103))</f>
        <v/>
      </c>
      <c r="R103" s="20" t="str">
        <f aca="false">IF(OR(J103="",J103=0),"",MIN(1,K103/J103))</f>
        <v/>
      </c>
      <c r="S103" s="21" t="str">
        <f aca="true">IF(H103="","",IF(I103="",MAX(0,TODAY()-H103),MAX(0,I103-H103)))</f>
        <v/>
      </c>
      <c r="T103" s="14" t="str">
        <f aca="false">IF(OR(H103="",I103=""),"",IF(I103&lt;=H103,"S","N"))</f>
        <v/>
      </c>
      <c r="U103" s="14" t="str">
        <f aca="false">IF(A103="","",IF(AND(N103="S",O103="S",P103="S"),"S","N"))</f>
        <v/>
      </c>
      <c r="V103" s="13"/>
      <c r="W103" s="18"/>
      <c r="X103" s="19" t="str">
        <f aca="false">IF(W103="","",W103-G103)</f>
        <v/>
      </c>
      <c r="Y103" s="14" t="str">
        <f aca="true">IF(A103="","",IF(K103=0,IF(AND(H103&lt;&gt;"",TODAY()&gt;H103),"Vencida","Pendiente"),IF(K103&lt;J103,"Parcial","Completa")))</f>
        <v/>
      </c>
      <c r="Z103" s="16"/>
      <c r="AA103" s="13"/>
      <c r="AB103" s="14" t="str">
        <f aca="false">IF(W103="","Sin factura",IF(ABS(X103)&lt;=0.01,"OK","Revisar"))</f>
        <v>Sin factura</v>
      </c>
      <c r="AC103" s="13"/>
      <c r="AD103" s="14" t="str">
        <f aca="false">IF(A103="","",IF(L103="N","Producto no conforme",IF(M103="N","Falta registro sanitario",IF(OR(Y103="Parcial",Y103="Vencida"),IF(Z103="","Reprogramar recepción","Reprogramada "&amp;TEXT(Z103,"dd/mm")),IF(Y103="Pendiente","En espera",IF(U103="N","Completar documentos",IF(AB103="Revisar","Revisar importe facturado",IF(AC103&lt;&gt;"S","Registrar en Kontrollers","OK"))))))))</f>
        <v/>
      </c>
      <c r="AE103" s="13"/>
    </row>
    <row r="104" customFormat="false" ht="15" hidden="false" customHeight="false" outlineLevel="0" collapsed="false">
      <c r="A104" s="13"/>
      <c r="B104" s="16"/>
      <c r="C104" s="13"/>
      <c r="D104" s="13"/>
      <c r="E104" s="13"/>
      <c r="F104" s="13"/>
      <c r="G104" s="18"/>
      <c r="H104" s="16"/>
      <c r="I104" s="16"/>
      <c r="J104" s="17"/>
      <c r="K104" s="17"/>
      <c r="L104" s="13"/>
      <c r="M104" s="13"/>
      <c r="N104" s="13"/>
      <c r="O104" s="13"/>
      <c r="P104" s="13"/>
      <c r="Q104" s="14" t="str">
        <f aca="false">IF(B104="","",MONTH(B104))</f>
        <v/>
      </c>
      <c r="R104" s="20" t="str">
        <f aca="false">IF(OR(J104="",J104=0),"",MIN(1,K104/J104))</f>
        <v/>
      </c>
      <c r="S104" s="21" t="str">
        <f aca="true">IF(H104="","",IF(I104="",MAX(0,TODAY()-H104),MAX(0,I104-H104)))</f>
        <v/>
      </c>
      <c r="T104" s="14" t="str">
        <f aca="false">IF(OR(H104="",I104=""),"",IF(I104&lt;=H104,"S","N"))</f>
        <v/>
      </c>
      <c r="U104" s="14" t="str">
        <f aca="false">IF(A104="","",IF(AND(N104="S",O104="S",P104="S"),"S","N"))</f>
        <v/>
      </c>
      <c r="V104" s="13"/>
      <c r="W104" s="18"/>
      <c r="X104" s="19" t="str">
        <f aca="false">IF(W104="","",W104-G104)</f>
        <v/>
      </c>
      <c r="Y104" s="14" t="str">
        <f aca="true">IF(A104="","",IF(K104=0,IF(AND(H104&lt;&gt;"",TODAY()&gt;H104),"Vencida","Pendiente"),IF(K104&lt;J104,"Parcial","Completa")))</f>
        <v/>
      </c>
      <c r="Z104" s="16"/>
      <c r="AA104" s="13"/>
      <c r="AB104" s="14" t="str">
        <f aca="false">IF(W104="","Sin factura",IF(ABS(X104)&lt;=0.01,"OK","Revisar"))</f>
        <v>Sin factura</v>
      </c>
      <c r="AC104" s="13"/>
      <c r="AD104" s="14" t="str">
        <f aca="false">IF(A104="","",IF(L104="N","Producto no conforme",IF(M104="N","Falta registro sanitario",IF(OR(Y104="Parcial",Y104="Vencida"),IF(Z104="","Reprogramar recepción","Reprogramada "&amp;TEXT(Z104,"dd/mm")),IF(Y104="Pendiente","En espera",IF(U104="N","Completar documentos",IF(AB104="Revisar","Revisar importe facturado",IF(AC104&lt;&gt;"S","Registrar en Kontrollers","OK"))))))))</f>
        <v/>
      </c>
      <c r="AE104" s="13"/>
    </row>
    <row r="105" customFormat="false" ht="15" hidden="false" customHeight="false" outlineLevel="0" collapsed="false">
      <c r="A105" s="13"/>
      <c r="B105" s="16"/>
      <c r="C105" s="13"/>
      <c r="D105" s="13"/>
      <c r="E105" s="13"/>
      <c r="F105" s="13"/>
      <c r="G105" s="18"/>
      <c r="H105" s="16"/>
      <c r="I105" s="16"/>
      <c r="J105" s="17"/>
      <c r="K105" s="17"/>
      <c r="L105" s="13"/>
      <c r="M105" s="13"/>
      <c r="N105" s="13"/>
      <c r="O105" s="13"/>
      <c r="P105" s="13"/>
      <c r="Q105" s="14" t="str">
        <f aca="false">IF(B105="","",MONTH(B105))</f>
        <v/>
      </c>
      <c r="R105" s="20" t="str">
        <f aca="false">IF(OR(J105="",J105=0),"",MIN(1,K105/J105))</f>
        <v/>
      </c>
      <c r="S105" s="21" t="str">
        <f aca="true">IF(H105="","",IF(I105="",MAX(0,TODAY()-H105),MAX(0,I105-H105)))</f>
        <v/>
      </c>
      <c r="T105" s="14" t="str">
        <f aca="false">IF(OR(H105="",I105=""),"",IF(I105&lt;=H105,"S","N"))</f>
        <v/>
      </c>
      <c r="U105" s="14" t="str">
        <f aca="false">IF(A105="","",IF(AND(N105="S",O105="S",P105="S"),"S","N"))</f>
        <v/>
      </c>
      <c r="V105" s="13"/>
      <c r="W105" s="18"/>
      <c r="X105" s="19" t="str">
        <f aca="false">IF(W105="","",W105-G105)</f>
        <v/>
      </c>
      <c r="Y105" s="14" t="str">
        <f aca="true">IF(A105="","",IF(K105=0,IF(AND(H105&lt;&gt;"",TODAY()&gt;H105),"Vencida","Pendiente"),IF(K105&lt;J105,"Parcial","Completa")))</f>
        <v/>
      </c>
      <c r="Z105" s="16"/>
      <c r="AA105" s="13"/>
      <c r="AB105" s="14" t="str">
        <f aca="false">IF(W105="","Sin factura",IF(ABS(X105)&lt;=0.01,"OK","Revisar"))</f>
        <v>Sin factura</v>
      </c>
      <c r="AC105" s="13"/>
      <c r="AD105" s="14" t="str">
        <f aca="false">IF(A105="","",IF(L105="N","Producto no conforme",IF(M105="N","Falta registro sanitario",IF(OR(Y105="Parcial",Y105="Vencida"),IF(Z105="","Reprogramar recepción","Reprogramada "&amp;TEXT(Z105,"dd/mm")),IF(Y105="Pendiente","En espera",IF(U105="N","Completar documentos",IF(AB105="Revisar","Revisar importe facturado",IF(AC105&lt;&gt;"S","Registrar en Kontrollers","OK"))))))))</f>
        <v/>
      </c>
      <c r="AE105" s="13"/>
    </row>
    <row r="106" customFormat="false" ht="15" hidden="false" customHeight="false" outlineLevel="0" collapsed="false">
      <c r="A106" s="13"/>
      <c r="B106" s="16"/>
      <c r="C106" s="13"/>
      <c r="D106" s="13"/>
      <c r="E106" s="13"/>
      <c r="F106" s="13"/>
      <c r="G106" s="18"/>
      <c r="H106" s="16"/>
      <c r="I106" s="16"/>
      <c r="J106" s="17"/>
      <c r="K106" s="17"/>
      <c r="L106" s="13"/>
      <c r="M106" s="13"/>
      <c r="N106" s="13"/>
      <c r="O106" s="13"/>
      <c r="P106" s="13"/>
      <c r="Q106" s="14" t="str">
        <f aca="false">IF(B106="","",MONTH(B106))</f>
        <v/>
      </c>
      <c r="R106" s="20" t="str">
        <f aca="false">IF(OR(J106="",J106=0),"",MIN(1,K106/J106))</f>
        <v/>
      </c>
      <c r="S106" s="21" t="str">
        <f aca="true">IF(H106="","",IF(I106="",MAX(0,TODAY()-H106),MAX(0,I106-H106)))</f>
        <v/>
      </c>
      <c r="T106" s="14" t="str">
        <f aca="false">IF(OR(H106="",I106=""),"",IF(I106&lt;=H106,"S","N"))</f>
        <v/>
      </c>
      <c r="U106" s="14" t="str">
        <f aca="false">IF(A106="","",IF(AND(N106="S",O106="S",P106="S"),"S","N"))</f>
        <v/>
      </c>
      <c r="V106" s="13"/>
      <c r="W106" s="18"/>
      <c r="X106" s="19" t="str">
        <f aca="false">IF(W106="","",W106-G106)</f>
        <v/>
      </c>
      <c r="Y106" s="14" t="str">
        <f aca="true">IF(A106="","",IF(K106=0,IF(AND(H106&lt;&gt;"",TODAY()&gt;H106),"Vencida","Pendiente"),IF(K106&lt;J106,"Parcial","Completa")))</f>
        <v/>
      </c>
      <c r="Z106" s="16"/>
      <c r="AA106" s="13"/>
      <c r="AB106" s="14" t="str">
        <f aca="false">IF(W106="","Sin factura",IF(ABS(X106)&lt;=0.01,"OK","Revisar"))</f>
        <v>Sin factura</v>
      </c>
      <c r="AC106" s="13"/>
      <c r="AD106" s="14" t="str">
        <f aca="false">IF(A106="","",IF(L106="N","Producto no conforme",IF(M106="N","Falta registro sanitario",IF(OR(Y106="Parcial",Y106="Vencida"),IF(Z106="","Reprogramar recepción","Reprogramada "&amp;TEXT(Z106,"dd/mm")),IF(Y106="Pendiente","En espera",IF(U106="N","Completar documentos",IF(AB106="Revisar","Revisar importe facturado",IF(AC106&lt;&gt;"S","Registrar en Kontrollers","OK"))))))))</f>
        <v/>
      </c>
      <c r="AE106" s="13"/>
    </row>
    <row r="107" customFormat="false" ht="15" hidden="false" customHeight="false" outlineLevel="0" collapsed="false">
      <c r="A107" s="13"/>
      <c r="B107" s="16"/>
      <c r="C107" s="13"/>
      <c r="D107" s="13"/>
      <c r="E107" s="13"/>
      <c r="F107" s="13"/>
      <c r="G107" s="18"/>
      <c r="H107" s="16"/>
      <c r="I107" s="16"/>
      <c r="J107" s="17"/>
      <c r="K107" s="17"/>
      <c r="L107" s="13"/>
      <c r="M107" s="13"/>
      <c r="N107" s="13"/>
      <c r="O107" s="13"/>
      <c r="P107" s="13"/>
      <c r="Q107" s="14" t="str">
        <f aca="false">IF(B107="","",MONTH(B107))</f>
        <v/>
      </c>
      <c r="R107" s="20" t="str">
        <f aca="false">IF(OR(J107="",J107=0),"",MIN(1,K107/J107))</f>
        <v/>
      </c>
      <c r="S107" s="21" t="str">
        <f aca="true">IF(H107="","",IF(I107="",MAX(0,TODAY()-H107),MAX(0,I107-H107)))</f>
        <v/>
      </c>
      <c r="T107" s="14" t="str">
        <f aca="false">IF(OR(H107="",I107=""),"",IF(I107&lt;=H107,"S","N"))</f>
        <v/>
      </c>
      <c r="U107" s="14" t="str">
        <f aca="false">IF(A107="","",IF(AND(N107="S",O107="S",P107="S"),"S","N"))</f>
        <v/>
      </c>
      <c r="V107" s="13"/>
      <c r="W107" s="18"/>
      <c r="X107" s="19" t="str">
        <f aca="false">IF(W107="","",W107-G107)</f>
        <v/>
      </c>
      <c r="Y107" s="14" t="str">
        <f aca="true">IF(A107="","",IF(K107=0,IF(AND(H107&lt;&gt;"",TODAY()&gt;H107),"Vencida","Pendiente"),IF(K107&lt;J107,"Parcial","Completa")))</f>
        <v/>
      </c>
      <c r="Z107" s="16"/>
      <c r="AA107" s="13"/>
      <c r="AB107" s="14" t="str">
        <f aca="false">IF(W107="","Sin factura",IF(ABS(X107)&lt;=0.01,"OK","Revisar"))</f>
        <v>Sin factura</v>
      </c>
      <c r="AC107" s="13"/>
      <c r="AD107" s="14" t="str">
        <f aca="false">IF(A107="","",IF(L107="N","Producto no conforme",IF(M107="N","Falta registro sanitario",IF(OR(Y107="Parcial",Y107="Vencida"),IF(Z107="","Reprogramar recepción","Reprogramada "&amp;TEXT(Z107,"dd/mm")),IF(Y107="Pendiente","En espera",IF(U107="N","Completar documentos",IF(AB107="Revisar","Revisar importe facturado",IF(AC107&lt;&gt;"S","Registrar en Kontrollers","OK"))))))))</f>
        <v/>
      </c>
      <c r="AE107" s="13"/>
    </row>
    <row r="108" customFormat="false" ht="15" hidden="false" customHeight="false" outlineLevel="0" collapsed="false">
      <c r="A108" s="13"/>
      <c r="B108" s="16"/>
      <c r="C108" s="13"/>
      <c r="D108" s="13"/>
      <c r="E108" s="13"/>
      <c r="F108" s="13"/>
      <c r="G108" s="18"/>
      <c r="H108" s="16"/>
      <c r="I108" s="16"/>
      <c r="J108" s="17"/>
      <c r="K108" s="17"/>
      <c r="L108" s="13"/>
      <c r="M108" s="13"/>
      <c r="N108" s="13"/>
      <c r="O108" s="13"/>
      <c r="P108" s="13"/>
      <c r="Q108" s="14" t="str">
        <f aca="false">IF(B108="","",MONTH(B108))</f>
        <v/>
      </c>
      <c r="R108" s="20" t="str">
        <f aca="false">IF(OR(J108="",J108=0),"",MIN(1,K108/J108))</f>
        <v/>
      </c>
      <c r="S108" s="21" t="str">
        <f aca="true">IF(H108="","",IF(I108="",MAX(0,TODAY()-H108),MAX(0,I108-H108)))</f>
        <v/>
      </c>
      <c r="T108" s="14" t="str">
        <f aca="false">IF(OR(H108="",I108=""),"",IF(I108&lt;=H108,"S","N"))</f>
        <v/>
      </c>
      <c r="U108" s="14" t="str">
        <f aca="false">IF(A108="","",IF(AND(N108="S",O108="S",P108="S"),"S","N"))</f>
        <v/>
      </c>
      <c r="V108" s="13"/>
      <c r="W108" s="18"/>
      <c r="X108" s="19" t="str">
        <f aca="false">IF(W108="","",W108-G108)</f>
        <v/>
      </c>
      <c r="Y108" s="14" t="str">
        <f aca="true">IF(A108="","",IF(K108=0,IF(AND(H108&lt;&gt;"",TODAY()&gt;H108),"Vencida","Pendiente"),IF(K108&lt;J108,"Parcial","Completa")))</f>
        <v/>
      </c>
      <c r="Z108" s="16"/>
      <c r="AA108" s="13"/>
      <c r="AB108" s="14" t="str">
        <f aca="false">IF(W108="","Sin factura",IF(ABS(X108)&lt;=0.01,"OK","Revisar"))</f>
        <v>Sin factura</v>
      </c>
      <c r="AC108" s="13"/>
      <c r="AD108" s="14" t="str">
        <f aca="false">IF(A108="","",IF(L108="N","Producto no conforme",IF(M108="N","Falta registro sanitario",IF(OR(Y108="Parcial",Y108="Vencida"),IF(Z108="","Reprogramar recepción","Reprogramada "&amp;TEXT(Z108,"dd/mm")),IF(Y108="Pendiente","En espera",IF(U108="N","Completar documentos",IF(AB108="Revisar","Revisar importe facturado",IF(AC108&lt;&gt;"S","Registrar en Kontrollers","OK"))))))))</f>
        <v/>
      </c>
      <c r="AE108" s="13"/>
    </row>
    <row r="109" customFormat="false" ht="15" hidden="false" customHeight="false" outlineLevel="0" collapsed="false">
      <c r="A109" s="13"/>
      <c r="B109" s="16"/>
      <c r="C109" s="13"/>
      <c r="D109" s="13"/>
      <c r="E109" s="13"/>
      <c r="F109" s="13"/>
      <c r="G109" s="18"/>
      <c r="H109" s="16"/>
      <c r="I109" s="16"/>
      <c r="J109" s="17"/>
      <c r="K109" s="17"/>
      <c r="L109" s="13"/>
      <c r="M109" s="13"/>
      <c r="N109" s="13"/>
      <c r="O109" s="13"/>
      <c r="P109" s="13"/>
      <c r="Q109" s="14" t="str">
        <f aca="false">IF(B109="","",MONTH(B109))</f>
        <v/>
      </c>
      <c r="R109" s="20" t="str">
        <f aca="false">IF(OR(J109="",J109=0),"",MIN(1,K109/J109))</f>
        <v/>
      </c>
      <c r="S109" s="21" t="str">
        <f aca="true">IF(H109="","",IF(I109="",MAX(0,TODAY()-H109),MAX(0,I109-H109)))</f>
        <v/>
      </c>
      <c r="T109" s="14" t="str">
        <f aca="false">IF(OR(H109="",I109=""),"",IF(I109&lt;=H109,"S","N"))</f>
        <v/>
      </c>
      <c r="U109" s="14" t="str">
        <f aca="false">IF(A109="","",IF(AND(N109="S",O109="S",P109="S"),"S","N"))</f>
        <v/>
      </c>
      <c r="V109" s="13"/>
      <c r="W109" s="18"/>
      <c r="X109" s="19" t="str">
        <f aca="false">IF(W109="","",W109-G109)</f>
        <v/>
      </c>
      <c r="Y109" s="14" t="str">
        <f aca="true">IF(A109="","",IF(K109=0,IF(AND(H109&lt;&gt;"",TODAY()&gt;H109),"Vencida","Pendiente"),IF(K109&lt;J109,"Parcial","Completa")))</f>
        <v/>
      </c>
      <c r="Z109" s="16"/>
      <c r="AA109" s="13"/>
      <c r="AB109" s="14" t="str">
        <f aca="false">IF(W109="","Sin factura",IF(ABS(X109)&lt;=0.01,"OK","Revisar"))</f>
        <v>Sin factura</v>
      </c>
      <c r="AC109" s="13"/>
      <c r="AD109" s="14" t="str">
        <f aca="false">IF(A109="","",IF(L109="N","Producto no conforme",IF(M109="N","Falta registro sanitario",IF(OR(Y109="Parcial",Y109="Vencida"),IF(Z109="","Reprogramar recepción","Reprogramada "&amp;TEXT(Z109,"dd/mm")),IF(Y109="Pendiente","En espera",IF(U109="N","Completar documentos",IF(AB109="Revisar","Revisar importe facturado",IF(AC109&lt;&gt;"S","Registrar en Kontrollers","OK"))))))))</f>
        <v/>
      </c>
      <c r="AE109" s="13"/>
    </row>
    <row r="110" customFormat="false" ht="15" hidden="false" customHeight="false" outlineLevel="0" collapsed="false">
      <c r="A110" s="13"/>
      <c r="B110" s="16"/>
      <c r="C110" s="13"/>
      <c r="D110" s="13"/>
      <c r="E110" s="13"/>
      <c r="F110" s="13"/>
      <c r="G110" s="18"/>
      <c r="H110" s="16"/>
      <c r="I110" s="16"/>
      <c r="J110" s="17"/>
      <c r="K110" s="17"/>
      <c r="L110" s="13"/>
      <c r="M110" s="13"/>
      <c r="N110" s="13"/>
      <c r="O110" s="13"/>
      <c r="P110" s="13"/>
      <c r="Q110" s="14" t="str">
        <f aca="false">IF(B110="","",MONTH(B110))</f>
        <v/>
      </c>
      <c r="R110" s="20" t="str">
        <f aca="false">IF(OR(J110="",J110=0),"",MIN(1,K110/J110))</f>
        <v/>
      </c>
      <c r="S110" s="21" t="str">
        <f aca="true">IF(H110="","",IF(I110="",MAX(0,TODAY()-H110),MAX(0,I110-H110)))</f>
        <v/>
      </c>
      <c r="T110" s="14" t="str">
        <f aca="false">IF(OR(H110="",I110=""),"",IF(I110&lt;=H110,"S","N"))</f>
        <v/>
      </c>
      <c r="U110" s="14" t="str">
        <f aca="false">IF(A110="","",IF(AND(N110="S",O110="S",P110="S"),"S","N"))</f>
        <v/>
      </c>
      <c r="V110" s="13"/>
      <c r="W110" s="18"/>
      <c r="X110" s="19" t="str">
        <f aca="false">IF(W110="","",W110-G110)</f>
        <v/>
      </c>
      <c r="Y110" s="14" t="str">
        <f aca="true">IF(A110="","",IF(K110=0,IF(AND(H110&lt;&gt;"",TODAY()&gt;H110),"Vencida","Pendiente"),IF(K110&lt;J110,"Parcial","Completa")))</f>
        <v/>
      </c>
      <c r="Z110" s="16"/>
      <c r="AA110" s="13"/>
      <c r="AB110" s="14" t="str">
        <f aca="false">IF(W110="","Sin factura",IF(ABS(X110)&lt;=0.01,"OK","Revisar"))</f>
        <v>Sin factura</v>
      </c>
      <c r="AC110" s="13"/>
      <c r="AD110" s="14" t="str">
        <f aca="false">IF(A110="","",IF(L110="N","Producto no conforme",IF(M110="N","Falta registro sanitario",IF(OR(Y110="Parcial",Y110="Vencida"),IF(Z110="","Reprogramar recepción","Reprogramada "&amp;TEXT(Z110,"dd/mm")),IF(Y110="Pendiente","En espera",IF(U110="N","Completar documentos",IF(AB110="Revisar","Revisar importe facturado",IF(AC110&lt;&gt;"S","Registrar en Kontrollers","OK"))))))))</f>
        <v/>
      </c>
      <c r="AE110" s="13"/>
    </row>
    <row r="111" customFormat="false" ht="15" hidden="false" customHeight="false" outlineLevel="0" collapsed="false">
      <c r="A111" s="13"/>
      <c r="B111" s="16"/>
      <c r="C111" s="13"/>
      <c r="D111" s="13"/>
      <c r="E111" s="13"/>
      <c r="F111" s="13"/>
      <c r="G111" s="18"/>
      <c r="H111" s="16"/>
      <c r="I111" s="16"/>
      <c r="J111" s="17"/>
      <c r="K111" s="17"/>
      <c r="L111" s="13"/>
      <c r="M111" s="13"/>
      <c r="N111" s="13"/>
      <c r="O111" s="13"/>
      <c r="P111" s="13"/>
      <c r="Q111" s="14" t="str">
        <f aca="false">IF(B111="","",MONTH(B111))</f>
        <v/>
      </c>
      <c r="R111" s="20" t="str">
        <f aca="false">IF(OR(J111="",J111=0),"",MIN(1,K111/J111))</f>
        <v/>
      </c>
      <c r="S111" s="21" t="str">
        <f aca="true">IF(H111="","",IF(I111="",MAX(0,TODAY()-H111),MAX(0,I111-H111)))</f>
        <v/>
      </c>
      <c r="T111" s="14" t="str">
        <f aca="false">IF(OR(H111="",I111=""),"",IF(I111&lt;=H111,"S","N"))</f>
        <v/>
      </c>
      <c r="U111" s="14" t="str">
        <f aca="false">IF(A111="","",IF(AND(N111="S",O111="S",P111="S"),"S","N"))</f>
        <v/>
      </c>
      <c r="V111" s="13"/>
      <c r="W111" s="18"/>
      <c r="X111" s="19" t="str">
        <f aca="false">IF(W111="","",W111-G111)</f>
        <v/>
      </c>
      <c r="Y111" s="14" t="str">
        <f aca="true">IF(A111="","",IF(K111=0,IF(AND(H111&lt;&gt;"",TODAY()&gt;H111),"Vencida","Pendiente"),IF(K111&lt;J111,"Parcial","Completa")))</f>
        <v/>
      </c>
      <c r="Z111" s="16"/>
      <c r="AA111" s="13"/>
      <c r="AB111" s="14" t="str">
        <f aca="false">IF(W111="","Sin factura",IF(ABS(X111)&lt;=0.01,"OK","Revisar"))</f>
        <v>Sin factura</v>
      </c>
      <c r="AC111" s="13"/>
      <c r="AD111" s="14" t="str">
        <f aca="false">IF(A111="","",IF(L111="N","Producto no conforme",IF(M111="N","Falta registro sanitario",IF(OR(Y111="Parcial",Y111="Vencida"),IF(Z111="","Reprogramar recepción","Reprogramada "&amp;TEXT(Z111,"dd/mm")),IF(Y111="Pendiente","En espera",IF(U111="N","Completar documentos",IF(AB111="Revisar","Revisar importe facturado",IF(AC111&lt;&gt;"S","Registrar en Kontrollers","OK"))))))))</f>
        <v/>
      </c>
      <c r="AE111" s="13"/>
    </row>
    <row r="112" customFormat="false" ht="15" hidden="false" customHeight="false" outlineLevel="0" collapsed="false">
      <c r="A112" s="13"/>
      <c r="B112" s="16"/>
      <c r="C112" s="13"/>
      <c r="D112" s="13"/>
      <c r="E112" s="13"/>
      <c r="F112" s="13"/>
      <c r="G112" s="18"/>
      <c r="H112" s="16"/>
      <c r="I112" s="16"/>
      <c r="J112" s="17"/>
      <c r="K112" s="17"/>
      <c r="L112" s="13"/>
      <c r="M112" s="13"/>
      <c r="N112" s="13"/>
      <c r="O112" s="13"/>
      <c r="P112" s="13"/>
      <c r="Q112" s="14" t="str">
        <f aca="false">IF(B112="","",MONTH(B112))</f>
        <v/>
      </c>
      <c r="R112" s="20" t="str">
        <f aca="false">IF(OR(J112="",J112=0),"",MIN(1,K112/J112))</f>
        <v/>
      </c>
      <c r="S112" s="21" t="str">
        <f aca="true">IF(H112="","",IF(I112="",MAX(0,TODAY()-H112),MAX(0,I112-H112)))</f>
        <v/>
      </c>
      <c r="T112" s="14" t="str">
        <f aca="false">IF(OR(H112="",I112=""),"",IF(I112&lt;=H112,"S","N"))</f>
        <v/>
      </c>
      <c r="U112" s="14" t="str">
        <f aca="false">IF(A112="","",IF(AND(N112="S",O112="S",P112="S"),"S","N"))</f>
        <v/>
      </c>
      <c r="V112" s="13"/>
      <c r="W112" s="18"/>
      <c r="X112" s="19" t="str">
        <f aca="false">IF(W112="","",W112-G112)</f>
        <v/>
      </c>
      <c r="Y112" s="14" t="str">
        <f aca="true">IF(A112="","",IF(K112=0,IF(AND(H112&lt;&gt;"",TODAY()&gt;H112),"Vencida","Pendiente"),IF(K112&lt;J112,"Parcial","Completa")))</f>
        <v/>
      </c>
      <c r="Z112" s="16"/>
      <c r="AA112" s="13"/>
      <c r="AB112" s="14" t="str">
        <f aca="false">IF(W112="","Sin factura",IF(ABS(X112)&lt;=0.01,"OK","Revisar"))</f>
        <v>Sin factura</v>
      </c>
      <c r="AC112" s="13"/>
      <c r="AD112" s="14" t="str">
        <f aca="false">IF(A112="","",IF(L112="N","Producto no conforme",IF(M112="N","Falta registro sanitario",IF(OR(Y112="Parcial",Y112="Vencida"),IF(Z112="","Reprogramar recepción","Reprogramada "&amp;TEXT(Z112,"dd/mm")),IF(Y112="Pendiente","En espera",IF(U112="N","Completar documentos",IF(AB112="Revisar","Revisar importe facturado",IF(AC112&lt;&gt;"S","Registrar en Kontrollers","OK"))))))))</f>
        <v/>
      </c>
      <c r="AE112" s="13"/>
    </row>
    <row r="113" customFormat="false" ht="15" hidden="false" customHeight="false" outlineLevel="0" collapsed="false">
      <c r="A113" s="13"/>
      <c r="B113" s="16"/>
      <c r="C113" s="13"/>
      <c r="D113" s="13"/>
      <c r="E113" s="13"/>
      <c r="F113" s="13"/>
      <c r="G113" s="18"/>
      <c r="H113" s="16"/>
      <c r="I113" s="16"/>
      <c r="J113" s="17"/>
      <c r="K113" s="17"/>
      <c r="L113" s="13"/>
      <c r="M113" s="13"/>
      <c r="N113" s="13"/>
      <c r="O113" s="13"/>
      <c r="P113" s="13"/>
      <c r="Q113" s="14" t="str">
        <f aca="false">IF(B113="","",MONTH(B113))</f>
        <v/>
      </c>
      <c r="R113" s="20" t="str">
        <f aca="false">IF(OR(J113="",J113=0),"",MIN(1,K113/J113))</f>
        <v/>
      </c>
      <c r="S113" s="21" t="str">
        <f aca="true">IF(H113="","",IF(I113="",MAX(0,TODAY()-H113),MAX(0,I113-H113)))</f>
        <v/>
      </c>
      <c r="T113" s="14" t="str">
        <f aca="false">IF(OR(H113="",I113=""),"",IF(I113&lt;=H113,"S","N"))</f>
        <v/>
      </c>
      <c r="U113" s="14" t="str">
        <f aca="false">IF(A113="","",IF(AND(N113="S",O113="S",P113="S"),"S","N"))</f>
        <v/>
      </c>
      <c r="V113" s="13"/>
      <c r="W113" s="18"/>
      <c r="X113" s="19" t="str">
        <f aca="false">IF(W113="","",W113-G113)</f>
        <v/>
      </c>
      <c r="Y113" s="14" t="str">
        <f aca="true">IF(A113="","",IF(K113=0,IF(AND(H113&lt;&gt;"",TODAY()&gt;H113),"Vencida","Pendiente"),IF(K113&lt;J113,"Parcial","Completa")))</f>
        <v/>
      </c>
      <c r="Z113" s="16"/>
      <c r="AA113" s="13"/>
      <c r="AB113" s="14" t="str">
        <f aca="false">IF(W113="","Sin factura",IF(ABS(X113)&lt;=0.01,"OK","Revisar"))</f>
        <v>Sin factura</v>
      </c>
      <c r="AC113" s="13"/>
      <c r="AD113" s="14" t="str">
        <f aca="false">IF(A113="","",IF(L113="N","Producto no conforme",IF(M113="N","Falta registro sanitario",IF(OR(Y113="Parcial",Y113="Vencida"),IF(Z113="","Reprogramar recepción","Reprogramada "&amp;TEXT(Z113,"dd/mm")),IF(Y113="Pendiente","En espera",IF(U113="N","Completar documentos",IF(AB113="Revisar","Revisar importe facturado",IF(AC113&lt;&gt;"S","Registrar en Kontrollers","OK"))))))))</f>
        <v/>
      </c>
      <c r="AE113" s="13"/>
    </row>
    <row r="114" customFormat="false" ht="15" hidden="false" customHeight="false" outlineLevel="0" collapsed="false">
      <c r="A114" s="13"/>
      <c r="B114" s="16"/>
      <c r="C114" s="13"/>
      <c r="D114" s="13"/>
      <c r="E114" s="13"/>
      <c r="F114" s="13"/>
      <c r="G114" s="18"/>
      <c r="H114" s="16"/>
      <c r="I114" s="16"/>
      <c r="J114" s="17"/>
      <c r="K114" s="17"/>
      <c r="L114" s="13"/>
      <c r="M114" s="13"/>
      <c r="N114" s="13"/>
      <c r="O114" s="13"/>
      <c r="P114" s="13"/>
      <c r="Q114" s="14" t="str">
        <f aca="false">IF(B114="","",MONTH(B114))</f>
        <v/>
      </c>
      <c r="R114" s="20" t="str">
        <f aca="false">IF(OR(J114="",J114=0),"",MIN(1,K114/J114))</f>
        <v/>
      </c>
      <c r="S114" s="21" t="str">
        <f aca="true">IF(H114="","",IF(I114="",MAX(0,TODAY()-H114),MAX(0,I114-H114)))</f>
        <v/>
      </c>
      <c r="T114" s="14" t="str">
        <f aca="false">IF(OR(H114="",I114=""),"",IF(I114&lt;=H114,"S","N"))</f>
        <v/>
      </c>
      <c r="U114" s="14" t="str">
        <f aca="false">IF(A114="","",IF(AND(N114="S",O114="S",P114="S"),"S","N"))</f>
        <v/>
      </c>
      <c r="V114" s="13"/>
      <c r="W114" s="18"/>
      <c r="X114" s="19" t="str">
        <f aca="false">IF(W114="","",W114-G114)</f>
        <v/>
      </c>
      <c r="Y114" s="14" t="str">
        <f aca="true">IF(A114="","",IF(K114=0,IF(AND(H114&lt;&gt;"",TODAY()&gt;H114),"Vencida","Pendiente"),IF(K114&lt;J114,"Parcial","Completa")))</f>
        <v/>
      </c>
      <c r="Z114" s="16"/>
      <c r="AA114" s="13"/>
      <c r="AB114" s="14" t="str">
        <f aca="false">IF(W114="","Sin factura",IF(ABS(X114)&lt;=0.01,"OK","Revisar"))</f>
        <v>Sin factura</v>
      </c>
      <c r="AC114" s="13"/>
      <c r="AD114" s="14" t="str">
        <f aca="false">IF(A114="","",IF(L114="N","Producto no conforme",IF(M114="N","Falta registro sanitario",IF(OR(Y114="Parcial",Y114="Vencida"),IF(Z114="","Reprogramar recepción","Reprogramada "&amp;TEXT(Z114,"dd/mm")),IF(Y114="Pendiente","En espera",IF(U114="N","Completar documentos",IF(AB114="Revisar","Revisar importe facturado",IF(AC114&lt;&gt;"S","Registrar en Kontrollers","OK"))))))))</f>
        <v/>
      </c>
      <c r="AE114" s="13"/>
    </row>
    <row r="115" customFormat="false" ht="15" hidden="false" customHeight="false" outlineLevel="0" collapsed="false">
      <c r="A115" s="13"/>
      <c r="B115" s="16"/>
      <c r="C115" s="13"/>
      <c r="D115" s="13"/>
      <c r="E115" s="13"/>
      <c r="F115" s="13"/>
      <c r="G115" s="18"/>
      <c r="H115" s="16"/>
      <c r="I115" s="16"/>
      <c r="J115" s="17"/>
      <c r="K115" s="17"/>
      <c r="L115" s="13"/>
      <c r="M115" s="13"/>
      <c r="N115" s="13"/>
      <c r="O115" s="13"/>
      <c r="P115" s="13"/>
      <c r="Q115" s="14" t="str">
        <f aca="false">IF(B115="","",MONTH(B115))</f>
        <v/>
      </c>
      <c r="R115" s="20" t="str">
        <f aca="false">IF(OR(J115="",J115=0),"",MIN(1,K115/J115))</f>
        <v/>
      </c>
      <c r="S115" s="21" t="str">
        <f aca="true">IF(H115="","",IF(I115="",MAX(0,TODAY()-H115),MAX(0,I115-H115)))</f>
        <v/>
      </c>
      <c r="T115" s="14" t="str">
        <f aca="false">IF(OR(H115="",I115=""),"",IF(I115&lt;=H115,"S","N"))</f>
        <v/>
      </c>
      <c r="U115" s="14" t="str">
        <f aca="false">IF(A115="","",IF(AND(N115="S",O115="S",P115="S"),"S","N"))</f>
        <v/>
      </c>
      <c r="V115" s="13"/>
      <c r="W115" s="18"/>
      <c r="X115" s="19" t="str">
        <f aca="false">IF(W115="","",W115-G115)</f>
        <v/>
      </c>
      <c r="Y115" s="14" t="str">
        <f aca="true">IF(A115="","",IF(K115=0,IF(AND(H115&lt;&gt;"",TODAY()&gt;H115),"Vencida","Pendiente"),IF(K115&lt;J115,"Parcial","Completa")))</f>
        <v/>
      </c>
      <c r="Z115" s="16"/>
      <c r="AA115" s="13"/>
      <c r="AB115" s="14" t="str">
        <f aca="false">IF(W115="","Sin factura",IF(ABS(X115)&lt;=0.01,"OK","Revisar"))</f>
        <v>Sin factura</v>
      </c>
      <c r="AC115" s="13"/>
      <c r="AD115" s="14" t="str">
        <f aca="false">IF(A115="","",IF(L115="N","Producto no conforme",IF(M115="N","Falta registro sanitario",IF(OR(Y115="Parcial",Y115="Vencida"),IF(Z115="","Reprogramar recepción","Reprogramada "&amp;TEXT(Z115,"dd/mm")),IF(Y115="Pendiente","En espera",IF(U115="N","Completar documentos",IF(AB115="Revisar","Revisar importe facturado",IF(AC115&lt;&gt;"S","Registrar en Kontrollers","OK"))))))))</f>
        <v/>
      </c>
      <c r="AE115" s="13"/>
    </row>
    <row r="116" customFormat="false" ht="15" hidden="false" customHeight="false" outlineLevel="0" collapsed="false">
      <c r="A116" s="13"/>
      <c r="B116" s="16"/>
      <c r="C116" s="13"/>
      <c r="D116" s="13"/>
      <c r="E116" s="13"/>
      <c r="F116" s="13"/>
      <c r="G116" s="18"/>
      <c r="H116" s="16"/>
      <c r="I116" s="16"/>
      <c r="J116" s="17"/>
      <c r="K116" s="17"/>
      <c r="L116" s="13"/>
      <c r="M116" s="13"/>
      <c r="N116" s="13"/>
      <c r="O116" s="13"/>
      <c r="P116" s="13"/>
      <c r="Q116" s="14" t="str">
        <f aca="false">IF(B116="","",MONTH(B116))</f>
        <v/>
      </c>
      <c r="R116" s="20" t="str">
        <f aca="false">IF(OR(J116="",J116=0),"",MIN(1,K116/J116))</f>
        <v/>
      </c>
      <c r="S116" s="21" t="str">
        <f aca="true">IF(H116="","",IF(I116="",MAX(0,TODAY()-H116),MAX(0,I116-H116)))</f>
        <v/>
      </c>
      <c r="T116" s="14" t="str">
        <f aca="false">IF(OR(H116="",I116=""),"",IF(I116&lt;=H116,"S","N"))</f>
        <v/>
      </c>
      <c r="U116" s="14" t="str">
        <f aca="false">IF(A116="","",IF(AND(N116="S",O116="S",P116="S"),"S","N"))</f>
        <v/>
      </c>
      <c r="V116" s="13"/>
      <c r="W116" s="18"/>
      <c r="X116" s="19" t="str">
        <f aca="false">IF(W116="","",W116-G116)</f>
        <v/>
      </c>
      <c r="Y116" s="14" t="str">
        <f aca="true">IF(A116="","",IF(K116=0,IF(AND(H116&lt;&gt;"",TODAY()&gt;H116),"Vencida","Pendiente"),IF(K116&lt;J116,"Parcial","Completa")))</f>
        <v/>
      </c>
      <c r="Z116" s="16"/>
      <c r="AA116" s="13"/>
      <c r="AB116" s="14" t="str">
        <f aca="false">IF(W116="","Sin factura",IF(ABS(X116)&lt;=0.01,"OK","Revisar"))</f>
        <v>Sin factura</v>
      </c>
      <c r="AC116" s="13"/>
      <c r="AD116" s="14" t="str">
        <f aca="false">IF(A116="","",IF(L116="N","Producto no conforme",IF(M116="N","Falta registro sanitario",IF(OR(Y116="Parcial",Y116="Vencida"),IF(Z116="","Reprogramar recepción","Reprogramada "&amp;TEXT(Z116,"dd/mm")),IF(Y116="Pendiente","En espera",IF(U116="N","Completar documentos",IF(AB116="Revisar","Revisar importe facturado",IF(AC116&lt;&gt;"S","Registrar en Kontrollers","OK"))))))))</f>
        <v/>
      </c>
      <c r="AE116" s="13"/>
    </row>
    <row r="117" customFormat="false" ht="15" hidden="false" customHeight="false" outlineLevel="0" collapsed="false">
      <c r="A117" s="13"/>
      <c r="B117" s="16"/>
      <c r="C117" s="13"/>
      <c r="D117" s="13"/>
      <c r="E117" s="13"/>
      <c r="F117" s="13"/>
      <c r="G117" s="18"/>
      <c r="H117" s="16"/>
      <c r="I117" s="16"/>
      <c r="J117" s="17"/>
      <c r="K117" s="17"/>
      <c r="L117" s="13"/>
      <c r="M117" s="13"/>
      <c r="N117" s="13"/>
      <c r="O117" s="13"/>
      <c r="P117" s="13"/>
      <c r="Q117" s="14" t="str">
        <f aca="false">IF(B117="","",MONTH(B117))</f>
        <v/>
      </c>
      <c r="R117" s="20" t="str">
        <f aca="false">IF(OR(J117="",J117=0),"",MIN(1,K117/J117))</f>
        <v/>
      </c>
      <c r="S117" s="21" t="str">
        <f aca="true">IF(H117="","",IF(I117="",MAX(0,TODAY()-H117),MAX(0,I117-H117)))</f>
        <v/>
      </c>
      <c r="T117" s="14" t="str">
        <f aca="false">IF(OR(H117="",I117=""),"",IF(I117&lt;=H117,"S","N"))</f>
        <v/>
      </c>
      <c r="U117" s="14" t="str">
        <f aca="false">IF(A117="","",IF(AND(N117="S",O117="S",P117="S"),"S","N"))</f>
        <v/>
      </c>
      <c r="V117" s="13"/>
      <c r="W117" s="18"/>
      <c r="X117" s="19" t="str">
        <f aca="false">IF(W117="","",W117-G117)</f>
        <v/>
      </c>
      <c r="Y117" s="14" t="str">
        <f aca="true">IF(A117="","",IF(K117=0,IF(AND(H117&lt;&gt;"",TODAY()&gt;H117),"Vencida","Pendiente"),IF(K117&lt;J117,"Parcial","Completa")))</f>
        <v/>
      </c>
      <c r="Z117" s="16"/>
      <c r="AA117" s="13"/>
      <c r="AB117" s="14" t="str">
        <f aca="false">IF(W117="","Sin factura",IF(ABS(X117)&lt;=0.01,"OK","Revisar"))</f>
        <v>Sin factura</v>
      </c>
      <c r="AC117" s="13"/>
      <c r="AD117" s="14" t="str">
        <f aca="false">IF(A117="","",IF(L117="N","Producto no conforme",IF(M117="N","Falta registro sanitario",IF(OR(Y117="Parcial",Y117="Vencida"),IF(Z117="","Reprogramar recepción","Reprogramada "&amp;TEXT(Z117,"dd/mm")),IF(Y117="Pendiente","En espera",IF(U117="N","Completar documentos",IF(AB117="Revisar","Revisar importe facturado",IF(AC117&lt;&gt;"S","Registrar en Kontrollers","OK"))))))))</f>
        <v/>
      </c>
      <c r="AE117" s="13"/>
    </row>
    <row r="118" customFormat="false" ht="15" hidden="false" customHeight="false" outlineLevel="0" collapsed="false">
      <c r="A118" s="13"/>
      <c r="B118" s="16"/>
      <c r="C118" s="13"/>
      <c r="D118" s="13"/>
      <c r="E118" s="13"/>
      <c r="F118" s="13"/>
      <c r="G118" s="18"/>
      <c r="H118" s="16"/>
      <c r="I118" s="16"/>
      <c r="J118" s="17"/>
      <c r="K118" s="17"/>
      <c r="L118" s="13"/>
      <c r="M118" s="13"/>
      <c r="N118" s="13"/>
      <c r="O118" s="13"/>
      <c r="P118" s="13"/>
      <c r="Q118" s="14" t="str">
        <f aca="false">IF(B118="","",MONTH(B118))</f>
        <v/>
      </c>
      <c r="R118" s="20" t="str">
        <f aca="false">IF(OR(J118="",J118=0),"",MIN(1,K118/J118))</f>
        <v/>
      </c>
      <c r="S118" s="21" t="str">
        <f aca="true">IF(H118="","",IF(I118="",MAX(0,TODAY()-H118),MAX(0,I118-H118)))</f>
        <v/>
      </c>
      <c r="T118" s="14" t="str">
        <f aca="false">IF(OR(H118="",I118=""),"",IF(I118&lt;=H118,"S","N"))</f>
        <v/>
      </c>
      <c r="U118" s="14" t="str">
        <f aca="false">IF(A118="","",IF(AND(N118="S",O118="S",P118="S"),"S","N"))</f>
        <v/>
      </c>
      <c r="V118" s="13"/>
      <c r="W118" s="18"/>
      <c r="X118" s="19" t="str">
        <f aca="false">IF(W118="","",W118-G118)</f>
        <v/>
      </c>
      <c r="Y118" s="14" t="str">
        <f aca="true">IF(A118="","",IF(K118=0,IF(AND(H118&lt;&gt;"",TODAY()&gt;H118),"Vencida","Pendiente"),IF(K118&lt;J118,"Parcial","Completa")))</f>
        <v/>
      </c>
      <c r="Z118" s="16"/>
      <c r="AA118" s="13"/>
      <c r="AB118" s="14" t="str">
        <f aca="false">IF(W118="","Sin factura",IF(ABS(X118)&lt;=0.01,"OK","Revisar"))</f>
        <v>Sin factura</v>
      </c>
      <c r="AC118" s="13"/>
      <c r="AD118" s="14" t="str">
        <f aca="false">IF(A118="","",IF(L118="N","Producto no conforme",IF(M118="N","Falta registro sanitario",IF(OR(Y118="Parcial",Y118="Vencida"),IF(Z118="","Reprogramar recepción","Reprogramada "&amp;TEXT(Z118,"dd/mm")),IF(Y118="Pendiente","En espera",IF(U118="N","Completar documentos",IF(AB118="Revisar","Revisar importe facturado",IF(AC118&lt;&gt;"S","Registrar en Kontrollers","OK"))))))))</f>
        <v/>
      </c>
      <c r="AE118" s="13"/>
    </row>
    <row r="119" customFormat="false" ht="15" hidden="false" customHeight="false" outlineLevel="0" collapsed="false">
      <c r="A119" s="13"/>
      <c r="B119" s="16"/>
      <c r="C119" s="13"/>
      <c r="D119" s="13"/>
      <c r="E119" s="13"/>
      <c r="F119" s="13"/>
      <c r="G119" s="18"/>
      <c r="H119" s="16"/>
      <c r="I119" s="16"/>
      <c r="J119" s="17"/>
      <c r="K119" s="17"/>
      <c r="L119" s="13"/>
      <c r="M119" s="13"/>
      <c r="N119" s="13"/>
      <c r="O119" s="13"/>
      <c r="P119" s="13"/>
      <c r="Q119" s="14" t="str">
        <f aca="false">IF(B119="","",MONTH(B119))</f>
        <v/>
      </c>
      <c r="R119" s="20" t="str">
        <f aca="false">IF(OR(J119="",J119=0),"",MIN(1,K119/J119))</f>
        <v/>
      </c>
      <c r="S119" s="21" t="str">
        <f aca="true">IF(H119="","",IF(I119="",MAX(0,TODAY()-H119),MAX(0,I119-H119)))</f>
        <v/>
      </c>
      <c r="T119" s="14" t="str">
        <f aca="false">IF(OR(H119="",I119=""),"",IF(I119&lt;=H119,"S","N"))</f>
        <v/>
      </c>
      <c r="U119" s="14" t="str">
        <f aca="false">IF(A119="","",IF(AND(N119="S",O119="S",P119="S"),"S","N"))</f>
        <v/>
      </c>
      <c r="V119" s="13"/>
      <c r="W119" s="18"/>
      <c r="X119" s="19" t="str">
        <f aca="false">IF(W119="","",W119-G119)</f>
        <v/>
      </c>
      <c r="Y119" s="14" t="str">
        <f aca="true">IF(A119="","",IF(K119=0,IF(AND(H119&lt;&gt;"",TODAY()&gt;H119),"Vencida","Pendiente"),IF(K119&lt;J119,"Parcial","Completa")))</f>
        <v/>
      </c>
      <c r="Z119" s="16"/>
      <c r="AA119" s="13"/>
      <c r="AB119" s="14" t="str">
        <f aca="false">IF(W119="","Sin factura",IF(ABS(X119)&lt;=0.01,"OK","Revisar"))</f>
        <v>Sin factura</v>
      </c>
      <c r="AC119" s="13"/>
      <c r="AD119" s="14" t="str">
        <f aca="false">IF(A119="","",IF(L119="N","Producto no conforme",IF(M119="N","Falta registro sanitario",IF(OR(Y119="Parcial",Y119="Vencida"),IF(Z119="","Reprogramar recepción","Reprogramada "&amp;TEXT(Z119,"dd/mm")),IF(Y119="Pendiente","En espera",IF(U119="N","Completar documentos",IF(AB119="Revisar","Revisar importe facturado",IF(AC119&lt;&gt;"S","Registrar en Kontrollers","OK"))))))))</f>
        <v/>
      </c>
      <c r="AE119" s="13"/>
    </row>
    <row r="120" customFormat="false" ht="15" hidden="false" customHeight="false" outlineLevel="0" collapsed="false">
      <c r="A120" s="13"/>
      <c r="B120" s="16"/>
      <c r="C120" s="13"/>
      <c r="D120" s="13"/>
      <c r="E120" s="13"/>
      <c r="F120" s="13"/>
      <c r="G120" s="18"/>
      <c r="H120" s="16"/>
      <c r="I120" s="16"/>
      <c r="J120" s="17"/>
      <c r="K120" s="17"/>
      <c r="L120" s="13"/>
      <c r="M120" s="13"/>
      <c r="N120" s="13"/>
      <c r="O120" s="13"/>
      <c r="P120" s="13"/>
      <c r="Q120" s="14" t="str">
        <f aca="false">IF(B120="","",MONTH(B120))</f>
        <v/>
      </c>
      <c r="R120" s="20" t="str">
        <f aca="false">IF(OR(J120="",J120=0),"",MIN(1,K120/J120))</f>
        <v/>
      </c>
      <c r="S120" s="21" t="str">
        <f aca="true">IF(H120="","",IF(I120="",MAX(0,TODAY()-H120),MAX(0,I120-H120)))</f>
        <v/>
      </c>
      <c r="T120" s="14" t="str">
        <f aca="false">IF(OR(H120="",I120=""),"",IF(I120&lt;=H120,"S","N"))</f>
        <v/>
      </c>
      <c r="U120" s="14" t="str">
        <f aca="false">IF(A120="","",IF(AND(N120="S",O120="S",P120="S"),"S","N"))</f>
        <v/>
      </c>
      <c r="V120" s="13"/>
      <c r="W120" s="18"/>
      <c r="X120" s="19" t="str">
        <f aca="false">IF(W120="","",W120-G120)</f>
        <v/>
      </c>
      <c r="Y120" s="14" t="str">
        <f aca="true">IF(A120="","",IF(K120=0,IF(AND(H120&lt;&gt;"",TODAY()&gt;H120),"Vencida","Pendiente"),IF(K120&lt;J120,"Parcial","Completa")))</f>
        <v/>
      </c>
      <c r="Z120" s="16"/>
      <c r="AA120" s="13"/>
      <c r="AB120" s="14" t="str">
        <f aca="false">IF(W120="","Sin factura",IF(ABS(X120)&lt;=0.01,"OK","Revisar"))</f>
        <v>Sin factura</v>
      </c>
      <c r="AC120" s="13"/>
      <c r="AD120" s="14" t="str">
        <f aca="false">IF(A120="","",IF(L120="N","Producto no conforme",IF(M120="N","Falta registro sanitario",IF(OR(Y120="Parcial",Y120="Vencida"),IF(Z120="","Reprogramar recepción","Reprogramada "&amp;TEXT(Z120,"dd/mm")),IF(Y120="Pendiente","En espera",IF(U120="N","Completar documentos",IF(AB120="Revisar","Revisar importe facturado",IF(AC120&lt;&gt;"S","Registrar en Kontrollers","OK"))))))))</f>
        <v/>
      </c>
      <c r="AE120" s="13"/>
    </row>
    <row r="121" customFormat="false" ht="15" hidden="false" customHeight="false" outlineLevel="0" collapsed="false">
      <c r="A121" s="13"/>
      <c r="B121" s="16"/>
      <c r="C121" s="13"/>
      <c r="D121" s="13"/>
      <c r="E121" s="13"/>
      <c r="F121" s="13"/>
      <c r="G121" s="18"/>
      <c r="H121" s="16"/>
      <c r="I121" s="16"/>
      <c r="J121" s="17"/>
      <c r="K121" s="17"/>
      <c r="L121" s="13"/>
      <c r="M121" s="13"/>
      <c r="N121" s="13"/>
      <c r="O121" s="13"/>
      <c r="P121" s="13"/>
      <c r="Q121" s="14" t="str">
        <f aca="false">IF(B121="","",MONTH(B121))</f>
        <v/>
      </c>
      <c r="R121" s="20" t="str">
        <f aca="false">IF(OR(J121="",J121=0),"",MIN(1,K121/J121))</f>
        <v/>
      </c>
      <c r="S121" s="21" t="str">
        <f aca="true">IF(H121="","",IF(I121="",MAX(0,TODAY()-H121),MAX(0,I121-H121)))</f>
        <v/>
      </c>
      <c r="T121" s="14" t="str">
        <f aca="false">IF(OR(H121="",I121=""),"",IF(I121&lt;=H121,"S","N"))</f>
        <v/>
      </c>
      <c r="U121" s="14" t="str">
        <f aca="false">IF(A121="","",IF(AND(N121="S",O121="S",P121="S"),"S","N"))</f>
        <v/>
      </c>
      <c r="V121" s="13"/>
      <c r="W121" s="18"/>
      <c r="X121" s="19" t="str">
        <f aca="false">IF(W121="","",W121-G121)</f>
        <v/>
      </c>
      <c r="Y121" s="14" t="str">
        <f aca="true">IF(A121="","",IF(K121=0,IF(AND(H121&lt;&gt;"",TODAY()&gt;H121),"Vencida","Pendiente"),IF(K121&lt;J121,"Parcial","Completa")))</f>
        <v/>
      </c>
      <c r="Z121" s="16"/>
      <c r="AA121" s="13"/>
      <c r="AB121" s="14" t="str">
        <f aca="false">IF(W121="","Sin factura",IF(ABS(X121)&lt;=0.01,"OK","Revisar"))</f>
        <v>Sin factura</v>
      </c>
      <c r="AC121" s="13"/>
      <c r="AD121" s="14" t="str">
        <f aca="false">IF(A121="","",IF(L121="N","Producto no conforme",IF(M121="N","Falta registro sanitario",IF(OR(Y121="Parcial",Y121="Vencida"),IF(Z121="","Reprogramar recepción","Reprogramada "&amp;TEXT(Z121,"dd/mm")),IF(Y121="Pendiente","En espera",IF(U121="N","Completar documentos",IF(AB121="Revisar","Revisar importe facturado",IF(AC121&lt;&gt;"S","Registrar en Kontrollers","OK"))))))))</f>
        <v/>
      </c>
      <c r="AE121" s="13"/>
    </row>
    <row r="122" customFormat="false" ht="15" hidden="false" customHeight="false" outlineLevel="0" collapsed="false">
      <c r="A122" s="13"/>
      <c r="B122" s="16"/>
      <c r="C122" s="13"/>
      <c r="D122" s="13"/>
      <c r="E122" s="13"/>
      <c r="F122" s="13"/>
      <c r="G122" s="18"/>
      <c r="H122" s="16"/>
      <c r="I122" s="16"/>
      <c r="J122" s="17"/>
      <c r="K122" s="17"/>
      <c r="L122" s="13"/>
      <c r="M122" s="13"/>
      <c r="N122" s="13"/>
      <c r="O122" s="13"/>
      <c r="P122" s="13"/>
      <c r="Q122" s="14" t="str">
        <f aca="false">IF(B122="","",MONTH(B122))</f>
        <v/>
      </c>
      <c r="R122" s="20" t="str">
        <f aca="false">IF(OR(J122="",J122=0),"",MIN(1,K122/J122))</f>
        <v/>
      </c>
      <c r="S122" s="21" t="str">
        <f aca="true">IF(H122="","",IF(I122="",MAX(0,TODAY()-H122),MAX(0,I122-H122)))</f>
        <v/>
      </c>
      <c r="T122" s="14" t="str">
        <f aca="false">IF(OR(H122="",I122=""),"",IF(I122&lt;=H122,"S","N"))</f>
        <v/>
      </c>
      <c r="U122" s="14" t="str">
        <f aca="false">IF(A122="","",IF(AND(N122="S",O122="S",P122="S"),"S","N"))</f>
        <v/>
      </c>
      <c r="V122" s="13"/>
      <c r="W122" s="18"/>
      <c r="X122" s="19" t="str">
        <f aca="false">IF(W122="","",W122-G122)</f>
        <v/>
      </c>
      <c r="Y122" s="14" t="str">
        <f aca="true">IF(A122="","",IF(K122=0,IF(AND(H122&lt;&gt;"",TODAY()&gt;H122),"Vencida","Pendiente"),IF(K122&lt;J122,"Parcial","Completa")))</f>
        <v/>
      </c>
      <c r="Z122" s="16"/>
      <c r="AA122" s="13"/>
      <c r="AB122" s="14" t="str">
        <f aca="false">IF(W122="","Sin factura",IF(ABS(X122)&lt;=0.01,"OK","Revisar"))</f>
        <v>Sin factura</v>
      </c>
      <c r="AC122" s="13"/>
      <c r="AD122" s="14" t="str">
        <f aca="false">IF(A122="","",IF(L122="N","Producto no conforme",IF(M122="N","Falta registro sanitario",IF(OR(Y122="Parcial",Y122="Vencida"),IF(Z122="","Reprogramar recepción","Reprogramada "&amp;TEXT(Z122,"dd/mm")),IF(Y122="Pendiente","En espera",IF(U122="N","Completar documentos",IF(AB122="Revisar","Revisar importe facturado",IF(AC122&lt;&gt;"S","Registrar en Kontrollers","OK"))))))))</f>
        <v/>
      </c>
      <c r="AE122" s="13"/>
    </row>
    <row r="123" customFormat="false" ht="15" hidden="false" customHeight="false" outlineLevel="0" collapsed="false">
      <c r="A123" s="13"/>
      <c r="B123" s="16"/>
      <c r="C123" s="13"/>
      <c r="D123" s="13"/>
      <c r="E123" s="13"/>
      <c r="F123" s="13"/>
      <c r="G123" s="18"/>
      <c r="H123" s="16"/>
      <c r="I123" s="16"/>
      <c r="J123" s="17"/>
      <c r="K123" s="17"/>
      <c r="L123" s="13"/>
      <c r="M123" s="13"/>
      <c r="N123" s="13"/>
      <c r="O123" s="13"/>
      <c r="P123" s="13"/>
      <c r="Q123" s="14" t="str">
        <f aca="false">IF(B123="","",MONTH(B123))</f>
        <v/>
      </c>
      <c r="R123" s="20" t="str">
        <f aca="false">IF(OR(J123="",J123=0),"",MIN(1,K123/J123))</f>
        <v/>
      </c>
      <c r="S123" s="21" t="str">
        <f aca="true">IF(H123="","",IF(I123="",MAX(0,TODAY()-H123),MAX(0,I123-H123)))</f>
        <v/>
      </c>
      <c r="T123" s="14" t="str">
        <f aca="false">IF(OR(H123="",I123=""),"",IF(I123&lt;=H123,"S","N"))</f>
        <v/>
      </c>
      <c r="U123" s="14" t="str">
        <f aca="false">IF(A123="","",IF(AND(N123="S",O123="S",P123="S"),"S","N"))</f>
        <v/>
      </c>
      <c r="V123" s="13"/>
      <c r="W123" s="18"/>
      <c r="X123" s="19" t="str">
        <f aca="false">IF(W123="","",W123-G123)</f>
        <v/>
      </c>
      <c r="Y123" s="14" t="str">
        <f aca="true">IF(A123="","",IF(K123=0,IF(AND(H123&lt;&gt;"",TODAY()&gt;H123),"Vencida","Pendiente"),IF(K123&lt;J123,"Parcial","Completa")))</f>
        <v/>
      </c>
      <c r="Z123" s="16"/>
      <c r="AA123" s="13"/>
      <c r="AB123" s="14" t="str">
        <f aca="false">IF(W123="","Sin factura",IF(ABS(X123)&lt;=0.01,"OK","Revisar"))</f>
        <v>Sin factura</v>
      </c>
      <c r="AC123" s="13"/>
      <c r="AD123" s="14" t="str">
        <f aca="false">IF(A123="","",IF(L123="N","Producto no conforme",IF(M123="N","Falta registro sanitario",IF(OR(Y123="Parcial",Y123="Vencida"),IF(Z123="","Reprogramar recepción","Reprogramada "&amp;TEXT(Z123,"dd/mm")),IF(Y123="Pendiente","En espera",IF(U123="N","Completar documentos",IF(AB123="Revisar","Revisar importe facturado",IF(AC123&lt;&gt;"S","Registrar en Kontrollers","OK"))))))))</f>
        <v/>
      </c>
      <c r="AE123" s="13"/>
    </row>
    <row r="124" customFormat="false" ht="15" hidden="false" customHeight="false" outlineLevel="0" collapsed="false">
      <c r="A124" s="13"/>
      <c r="B124" s="16"/>
      <c r="C124" s="13"/>
      <c r="D124" s="13"/>
      <c r="E124" s="13"/>
      <c r="F124" s="13"/>
      <c r="G124" s="18"/>
      <c r="H124" s="16"/>
      <c r="I124" s="16"/>
      <c r="J124" s="17"/>
      <c r="K124" s="17"/>
      <c r="L124" s="13"/>
      <c r="M124" s="13"/>
      <c r="N124" s="13"/>
      <c r="O124" s="13"/>
      <c r="P124" s="13"/>
      <c r="Q124" s="14" t="str">
        <f aca="false">IF(B124="","",MONTH(B124))</f>
        <v/>
      </c>
      <c r="R124" s="20" t="str">
        <f aca="false">IF(OR(J124="",J124=0),"",MIN(1,K124/J124))</f>
        <v/>
      </c>
      <c r="S124" s="21" t="str">
        <f aca="true">IF(H124="","",IF(I124="",MAX(0,TODAY()-H124),MAX(0,I124-H124)))</f>
        <v/>
      </c>
      <c r="T124" s="14" t="str">
        <f aca="false">IF(OR(H124="",I124=""),"",IF(I124&lt;=H124,"S","N"))</f>
        <v/>
      </c>
      <c r="U124" s="14" t="str">
        <f aca="false">IF(A124="","",IF(AND(N124="S",O124="S",P124="S"),"S","N"))</f>
        <v/>
      </c>
      <c r="V124" s="13"/>
      <c r="W124" s="18"/>
      <c r="X124" s="19" t="str">
        <f aca="false">IF(W124="","",W124-G124)</f>
        <v/>
      </c>
      <c r="Y124" s="14" t="str">
        <f aca="true">IF(A124="","",IF(K124=0,IF(AND(H124&lt;&gt;"",TODAY()&gt;H124),"Vencida","Pendiente"),IF(K124&lt;J124,"Parcial","Completa")))</f>
        <v/>
      </c>
      <c r="Z124" s="16"/>
      <c r="AA124" s="13"/>
      <c r="AB124" s="14" t="str">
        <f aca="false">IF(W124="","Sin factura",IF(ABS(X124)&lt;=0.01,"OK","Revisar"))</f>
        <v>Sin factura</v>
      </c>
      <c r="AC124" s="13"/>
      <c r="AD124" s="14" t="str">
        <f aca="false">IF(A124="","",IF(L124="N","Producto no conforme",IF(M124="N","Falta registro sanitario",IF(OR(Y124="Parcial",Y124="Vencida"),IF(Z124="","Reprogramar recepción","Reprogramada "&amp;TEXT(Z124,"dd/mm")),IF(Y124="Pendiente","En espera",IF(U124="N","Completar documentos",IF(AB124="Revisar","Revisar importe facturado",IF(AC124&lt;&gt;"S","Registrar en Kontrollers","OK"))))))))</f>
        <v/>
      </c>
      <c r="AE124" s="13"/>
    </row>
    <row r="125" customFormat="false" ht="15" hidden="false" customHeight="false" outlineLevel="0" collapsed="false">
      <c r="A125" s="13"/>
      <c r="B125" s="16"/>
      <c r="C125" s="13"/>
      <c r="D125" s="13"/>
      <c r="E125" s="13"/>
      <c r="F125" s="13"/>
      <c r="G125" s="18"/>
      <c r="H125" s="16"/>
      <c r="I125" s="16"/>
      <c r="J125" s="17"/>
      <c r="K125" s="17"/>
      <c r="L125" s="13"/>
      <c r="M125" s="13"/>
      <c r="N125" s="13"/>
      <c r="O125" s="13"/>
      <c r="P125" s="13"/>
      <c r="Q125" s="14" t="str">
        <f aca="false">IF(B125="","",MONTH(B125))</f>
        <v/>
      </c>
      <c r="R125" s="20" t="str">
        <f aca="false">IF(OR(J125="",J125=0),"",MIN(1,K125/J125))</f>
        <v/>
      </c>
      <c r="S125" s="21" t="str">
        <f aca="true">IF(H125="","",IF(I125="",MAX(0,TODAY()-H125),MAX(0,I125-H125)))</f>
        <v/>
      </c>
      <c r="T125" s="14" t="str">
        <f aca="false">IF(OR(H125="",I125=""),"",IF(I125&lt;=H125,"S","N"))</f>
        <v/>
      </c>
      <c r="U125" s="14" t="str">
        <f aca="false">IF(A125="","",IF(AND(N125="S",O125="S",P125="S"),"S","N"))</f>
        <v/>
      </c>
      <c r="V125" s="13"/>
      <c r="W125" s="18"/>
      <c r="X125" s="19" t="str">
        <f aca="false">IF(W125="","",W125-G125)</f>
        <v/>
      </c>
      <c r="Y125" s="14" t="str">
        <f aca="true">IF(A125="","",IF(K125=0,IF(AND(H125&lt;&gt;"",TODAY()&gt;H125),"Vencida","Pendiente"),IF(K125&lt;J125,"Parcial","Completa")))</f>
        <v/>
      </c>
      <c r="Z125" s="16"/>
      <c r="AA125" s="13"/>
      <c r="AB125" s="14" t="str">
        <f aca="false">IF(W125="","Sin factura",IF(ABS(X125)&lt;=0.01,"OK","Revisar"))</f>
        <v>Sin factura</v>
      </c>
      <c r="AC125" s="13"/>
      <c r="AD125" s="14" t="str">
        <f aca="false">IF(A125="","",IF(L125="N","Producto no conforme",IF(M125="N","Falta registro sanitario",IF(OR(Y125="Parcial",Y125="Vencida"),IF(Z125="","Reprogramar recepción","Reprogramada "&amp;TEXT(Z125,"dd/mm")),IF(Y125="Pendiente","En espera",IF(U125="N","Completar documentos",IF(AB125="Revisar","Revisar importe facturado",IF(AC125&lt;&gt;"S","Registrar en Kontrollers","OK"))))))))</f>
        <v/>
      </c>
      <c r="AE125" s="13"/>
    </row>
    <row r="126" customFormat="false" ht="15" hidden="false" customHeight="false" outlineLevel="0" collapsed="false">
      <c r="A126" s="13"/>
      <c r="B126" s="16"/>
      <c r="C126" s="13"/>
      <c r="D126" s="13"/>
      <c r="E126" s="13"/>
      <c r="F126" s="13"/>
      <c r="G126" s="18"/>
      <c r="H126" s="16"/>
      <c r="I126" s="16"/>
      <c r="J126" s="17"/>
      <c r="K126" s="17"/>
      <c r="L126" s="13"/>
      <c r="M126" s="13"/>
      <c r="N126" s="13"/>
      <c r="O126" s="13"/>
      <c r="P126" s="13"/>
      <c r="Q126" s="14" t="str">
        <f aca="false">IF(B126="","",MONTH(B126))</f>
        <v/>
      </c>
      <c r="R126" s="20" t="str">
        <f aca="false">IF(OR(J126="",J126=0),"",MIN(1,K126/J126))</f>
        <v/>
      </c>
      <c r="S126" s="21" t="str">
        <f aca="true">IF(H126="","",IF(I126="",MAX(0,TODAY()-H126),MAX(0,I126-H126)))</f>
        <v/>
      </c>
      <c r="T126" s="14" t="str">
        <f aca="false">IF(OR(H126="",I126=""),"",IF(I126&lt;=H126,"S","N"))</f>
        <v/>
      </c>
      <c r="U126" s="14" t="str">
        <f aca="false">IF(A126="","",IF(AND(N126="S",O126="S",P126="S"),"S","N"))</f>
        <v/>
      </c>
      <c r="V126" s="13"/>
      <c r="W126" s="18"/>
      <c r="X126" s="19" t="str">
        <f aca="false">IF(W126="","",W126-G126)</f>
        <v/>
      </c>
      <c r="Y126" s="14" t="str">
        <f aca="true">IF(A126="","",IF(K126=0,IF(AND(H126&lt;&gt;"",TODAY()&gt;H126),"Vencida","Pendiente"),IF(K126&lt;J126,"Parcial","Completa")))</f>
        <v/>
      </c>
      <c r="Z126" s="16"/>
      <c r="AA126" s="13"/>
      <c r="AB126" s="14" t="str">
        <f aca="false">IF(W126="","Sin factura",IF(ABS(X126)&lt;=0.01,"OK","Revisar"))</f>
        <v>Sin factura</v>
      </c>
      <c r="AC126" s="13"/>
      <c r="AD126" s="14" t="str">
        <f aca="false">IF(A126="","",IF(L126="N","Producto no conforme",IF(M126="N","Falta registro sanitario",IF(OR(Y126="Parcial",Y126="Vencida"),IF(Z126="","Reprogramar recepción","Reprogramada "&amp;TEXT(Z126,"dd/mm")),IF(Y126="Pendiente","En espera",IF(U126="N","Completar documentos",IF(AB126="Revisar","Revisar importe facturado",IF(AC126&lt;&gt;"S","Registrar en Kontrollers","OK"))))))))</f>
        <v/>
      </c>
      <c r="AE126" s="13"/>
    </row>
    <row r="127" customFormat="false" ht="15" hidden="false" customHeight="false" outlineLevel="0" collapsed="false">
      <c r="A127" s="13"/>
      <c r="B127" s="16"/>
      <c r="C127" s="13"/>
      <c r="D127" s="13"/>
      <c r="E127" s="13"/>
      <c r="F127" s="13"/>
      <c r="G127" s="18"/>
      <c r="H127" s="16"/>
      <c r="I127" s="16"/>
      <c r="J127" s="17"/>
      <c r="K127" s="17"/>
      <c r="L127" s="13"/>
      <c r="M127" s="13"/>
      <c r="N127" s="13"/>
      <c r="O127" s="13"/>
      <c r="P127" s="13"/>
      <c r="Q127" s="14" t="str">
        <f aca="false">IF(B127="","",MONTH(B127))</f>
        <v/>
      </c>
      <c r="R127" s="20" t="str">
        <f aca="false">IF(OR(J127="",J127=0),"",MIN(1,K127/J127))</f>
        <v/>
      </c>
      <c r="S127" s="21" t="str">
        <f aca="true">IF(H127="","",IF(I127="",MAX(0,TODAY()-H127),MAX(0,I127-H127)))</f>
        <v/>
      </c>
      <c r="T127" s="14" t="str">
        <f aca="false">IF(OR(H127="",I127=""),"",IF(I127&lt;=H127,"S","N"))</f>
        <v/>
      </c>
      <c r="U127" s="14" t="str">
        <f aca="false">IF(A127="","",IF(AND(N127="S",O127="S",P127="S"),"S","N"))</f>
        <v/>
      </c>
      <c r="V127" s="13"/>
      <c r="W127" s="18"/>
      <c r="X127" s="19" t="str">
        <f aca="false">IF(W127="","",W127-G127)</f>
        <v/>
      </c>
      <c r="Y127" s="14" t="str">
        <f aca="true">IF(A127="","",IF(K127=0,IF(AND(H127&lt;&gt;"",TODAY()&gt;H127),"Vencida","Pendiente"),IF(K127&lt;J127,"Parcial","Completa")))</f>
        <v/>
      </c>
      <c r="Z127" s="16"/>
      <c r="AA127" s="13"/>
      <c r="AB127" s="14" t="str">
        <f aca="false">IF(W127="","Sin factura",IF(ABS(X127)&lt;=0.01,"OK","Revisar"))</f>
        <v>Sin factura</v>
      </c>
      <c r="AC127" s="13"/>
      <c r="AD127" s="14" t="str">
        <f aca="false">IF(A127="","",IF(L127="N","Producto no conforme",IF(M127="N","Falta registro sanitario",IF(OR(Y127="Parcial",Y127="Vencida"),IF(Z127="","Reprogramar recepción","Reprogramada "&amp;TEXT(Z127,"dd/mm")),IF(Y127="Pendiente","En espera",IF(U127="N","Completar documentos",IF(AB127="Revisar","Revisar importe facturado",IF(AC127&lt;&gt;"S","Registrar en Kontrollers","OK"))))))))</f>
        <v/>
      </c>
      <c r="AE127" s="13"/>
    </row>
    <row r="128" customFormat="false" ht="15" hidden="false" customHeight="false" outlineLevel="0" collapsed="false">
      <c r="A128" s="13"/>
      <c r="B128" s="16"/>
      <c r="C128" s="13"/>
      <c r="D128" s="13"/>
      <c r="E128" s="13"/>
      <c r="F128" s="13"/>
      <c r="G128" s="18"/>
      <c r="H128" s="16"/>
      <c r="I128" s="16"/>
      <c r="J128" s="17"/>
      <c r="K128" s="17"/>
      <c r="L128" s="13"/>
      <c r="M128" s="13"/>
      <c r="N128" s="13"/>
      <c r="O128" s="13"/>
      <c r="P128" s="13"/>
      <c r="Q128" s="14" t="str">
        <f aca="false">IF(B128="","",MONTH(B128))</f>
        <v/>
      </c>
      <c r="R128" s="20" t="str">
        <f aca="false">IF(OR(J128="",J128=0),"",MIN(1,K128/J128))</f>
        <v/>
      </c>
      <c r="S128" s="21" t="str">
        <f aca="true">IF(H128="","",IF(I128="",MAX(0,TODAY()-H128),MAX(0,I128-H128)))</f>
        <v/>
      </c>
      <c r="T128" s="14" t="str">
        <f aca="false">IF(OR(H128="",I128=""),"",IF(I128&lt;=H128,"S","N"))</f>
        <v/>
      </c>
      <c r="U128" s="14" t="str">
        <f aca="false">IF(A128="","",IF(AND(N128="S",O128="S",P128="S"),"S","N"))</f>
        <v/>
      </c>
      <c r="V128" s="13"/>
      <c r="W128" s="18"/>
      <c r="X128" s="19" t="str">
        <f aca="false">IF(W128="","",W128-G128)</f>
        <v/>
      </c>
      <c r="Y128" s="14" t="str">
        <f aca="true">IF(A128="","",IF(K128=0,IF(AND(H128&lt;&gt;"",TODAY()&gt;H128),"Vencida","Pendiente"),IF(K128&lt;J128,"Parcial","Completa")))</f>
        <v/>
      </c>
      <c r="Z128" s="16"/>
      <c r="AA128" s="13"/>
      <c r="AB128" s="14" t="str">
        <f aca="false">IF(W128="","Sin factura",IF(ABS(X128)&lt;=0.01,"OK","Revisar"))</f>
        <v>Sin factura</v>
      </c>
      <c r="AC128" s="13"/>
      <c r="AD128" s="14" t="str">
        <f aca="false">IF(A128="","",IF(L128="N","Producto no conforme",IF(M128="N","Falta registro sanitario",IF(OR(Y128="Parcial",Y128="Vencida"),IF(Z128="","Reprogramar recepción","Reprogramada "&amp;TEXT(Z128,"dd/mm")),IF(Y128="Pendiente","En espera",IF(U128="N","Completar documentos",IF(AB128="Revisar","Revisar importe facturado",IF(AC128&lt;&gt;"S","Registrar en Kontrollers","OK"))))))))</f>
        <v/>
      </c>
      <c r="AE128" s="13"/>
    </row>
    <row r="129" customFormat="false" ht="15" hidden="false" customHeight="false" outlineLevel="0" collapsed="false">
      <c r="A129" s="13"/>
      <c r="B129" s="16"/>
      <c r="C129" s="13"/>
      <c r="D129" s="13"/>
      <c r="E129" s="13"/>
      <c r="F129" s="13"/>
      <c r="G129" s="18"/>
      <c r="H129" s="16"/>
      <c r="I129" s="16"/>
      <c r="J129" s="17"/>
      <c r="K129" s="17"/>
      <c r="L129" s="13"/>
      <c r="M129" s="13"/>
      <c r="N129" s="13"/>
      <c r="O129" s="13"/>
      <c r="P129" s="13"/>
      <c r="Q129" s="14" t="str">
        <f aca="false">IF(B129="","",MONTH(B129))</f>
        <v/>
      </c>
      <c r="R129" s="20" t="str">
        <f aca="false">IF(OR(J129="",J129=0),"",MIN(1,K129/J129))</f>
        <v/>
      </c>
      <c r="S129" s="21" t="str">
        <f aca="true">IF(H129="","",IF(I129="",MAX(0,TODAY()-H129),MAX(0,I129-H129)))</f>
        <v/>
      </c>
      <c r="T129" s="14" t="str">
        <f aca="false">IF(OR(H129="",I129=""),"",IF(I129&lt;=H129,"S","N"))</f>
        <v/>
      </c>
      <c r="U129" s="14" t="str">
        <f aca="false">IF(A129="","",IF(AND(N129="S",O129="S",P129="S"),"S","N"))</f>
        <v/>
      </c>
      <c r="V129" s="13"/>
      <c r="W129" s="18"/>
      <c r="X129" s="19" t="str">
        <f aca="false">IF(W129="","",W129-G129)</f>
        <v/>
      </c>
      <c r="Y129" s="14" t="str">
        <f aca="true">IF(A129="","",IF(K129=0,IF(AND(H129&lt;&gt;"",TODAY()&gt;H129),"Vencida","Pendiente"),IF(K129&lt;J129,"Parcial","Completa")))</f>
        <v/>
      </c>
      <c r="Z129" s="16"/>
      <c r="AA129" s="13"/>
      <c r="AB129" s="14" t="str">
        <f aca="false">IF(W129="","Sin factura",IF(ABS(X129)&lt;=0.01,"OK","Revisar"))</f>
        <v>Sin factura</v>
      </c>
      <c r="AC129" s="13"/>
      <c r="AD129" s="14" t="str">
        <f aca="false">IF(A129="","",IF(L129="N","Producto no conforme",IF(M129="N","Falta registro sanitario",IF(OR(Y129="Parcial",Y129="Vencida"),IF(Z129="","Reprogramar recepción","Reprogramada "&amp;TEXT(Z129,"dd/mm")),IF(Y129="Pendiente","En espera",IF(U129="N","Completar documentos",IF(AB129="Revisar","Revisar importe facturado",IF(AC129&lt;&gt;"S","Registrar en Kontrollers","OK"))))))))</f>
        <v/>
      </c>
      <c r="AE129" s="13"/>
    </row>
    <row r="130" customFormat="false" ht="15" hidden="false" customHeight="false" outlineLevel="0" collapsed="false">
      <c r="A130" s="13"/>
      <c r="B130" s="16"/>
      <c r="C130" s="13"/>
      <c r="D130" s="13"/>
      <c r="E130" s="13"/>
      <c r="F130" s="13"/>
      <c r="G130" s="18"/>
      <c r="H130" s="16"/>
      <c r="I130" s="16"/>
      <c r="J130" s="17"/>
      <c r="K130" s="17"/>
      <c r="L130" s="13"/>
      <c r="M130" s="13"/>
      <c r="N130" s="13"/>
      <c r="O130" s="13"/>
      <c r="P130" s="13"/>
      <c r="Q130" s="14" t="str">
        <f aca="false">IF(B130="","",MONTH(B130))</f>
        <v/>
      </c>
      <c r="R130" s="20" t="str">
        <f aca="false">IF(OR(J130="",J130=0),"",MIN(1,K130/J130))</f>
        <v/>
      </c>
      <c r="S130" s="21" t="str">
        <f aca="true">IF(H130="","",IF(I130="",MAX(0,TODAY()-H130),MAX(0,I130-H130)))</f>
        <v/>
      </c>
      <c r="T130" s="14" t="str">
        <f aca="false">IF(OR(H130="",I130=""),"",IF(I130&lt;=H130,"S","N"))</f>
        <v/>
      </c>
      <c r="U130" s="14" t="str">
        <f aca="false">IF(A130="","",IF(AND(N130="S",O130="S",P130="S"),"S","N"))</f>
        <v/>
      </c>
      <c r="V130" s="13"/>
      <c r="W130" s="18"/>
      <c r="X130" s="19" t="str">
        <f aca="false">IF(W130="","",W130-G130)</f>
        <v/>
      </c>
      <c r="Y130" s="14" t="str">
        <f aca="true">IF(A130="","",IF(K130=0,IF(AND(H130&lt;&gt;"",TODAY()&gt;H130),"Vencida","Pendiente"),IF(K130&lt;J130,"Parcial","Completa")))</f>
        <v/>
      </c>
      <c r="Z130" s="16"/>
      <c r="AA130" s="13"/>
      <c r="AB130" s="14" t="str">
        <f aca="false">IF(W130="","Sin factura",IF(ABS(X130)&lt;=0.01,"OK","Revisar"))</f>
        <v>Sin factura</v>
      </c>
      <c r="AC130" s="13"/>
      <c r="AD130" s="14" t="str">
        <f aca="false">IF(A130="","",IF(L130="N","Producto no conforme",IF(M130="N","Falta registro sanitario",IF(OR(Y130="Parcial",Y130="Vencida"),IF(Z130="","Reprogramar recepción","Reprogramada "&amp;TEXT(Z130,"dd/mm")),IF(Y130="Pendiente","En espera",IF(U130="N","Completar documentos",IF(AB130="Revisar","Revisar importe facturado",IF(AC130&lt;&gt;"S","Registrar en Kontrollers","OK"))))))))</f>
        <v/>
      </c>
      <c r="AE130" s="13"/>
    </row>
    <row r="131" customFormat="false" ht="15" hidden="false" customHeight="false" outlineLevel="0" collapsed="false">
      <c r="A131" s="13"/>
      <c r="B131" s="16"/>
      <c r="C131" s="13"/>
      <c r="D131" s="13"/>
      <c r="E131" s="13"/>
      <c r="F131" s="13"/>
      <c r="G131" s="18"/>
      <c r="H131" s="16"/>
      <c r="I131" s="16"/>
      <c r="J131" s="17"/>
      <c r="K131" s="17"/>
      <c r="L131" s="13"/>
      <c r="M131" s="13"/>
      <c r="N131" s="13"/>
      <c r="O131" s="13"/>
      <c r="P131" s="13"/>
      <c r="Q131" s="14" t="str">
        <f aca="false">IF(B131="","",MONTH(B131))</f>
        <v/>
      </c>
      <c r="R131" s="20" t="str">
        <f aca="false">IF(OR(J131="",J131=0),"",MIN(1,K131/J131))</f>
        <v/>
      </c>
      <c r="S131" s="21" t="str">
        <f aca="true">IF(H131="","",IF(I131="",MAX(0,TODAY()-H131),MAX(0,I131-H131)))</f>
        <v/>
      </c>
      <c r="T131" s="14" t="str">
        <f aca="false">IF(OR(H131="",I131=""),"",IF(I131&lt;=H131,"S","N"))</f>
        <v/>
      </c>
      <c r="U131" s="14" t="str">
        <f aca="false">IF(A131="","",IF(AND(N131="S",O131="S",P131="S"),"S","N"))</f>
        <v/>
      </c>
      <c r="V131" s="13"/>
      <c r="W131" s="18"/>
      <c r="X131" s="19" t="str">
        <f aca="false">IF(W131="","",W131-G131)</f>
        <v/>
      </c>
      <c r="Y131" s="14" t="str">
        <f aca="true">IF(A131="","",IF(K131=0,IF(AND(H131&lt;&gt;"",TODAY()&gt;H131),"Vencida","Pendiente"),IF(K131&lt;J131,"Parcial","Completa")))</f>
        <v/>
      </c>
      <c r="Z131" s="16"/>
      <c r="AA131" s="13"/>
      <c r="AB131" s="14" t="str">
        <f aca="false">IF(W131="","Sin factura",IF(ABS(X131)&lt;=0.01,"OK","Revisar"))</f>
        <v>Sin factura</v>
      </c>
      <c r="AC131" s="13"/>
      <c r="AD131" s="14" t="str">
        <f aca="false">IF(A131="","",IF(L131="N","Producto no conforme",IF(M131="N","Falta registro sanitario",IF(OR(Y131="Parcial",Y131="Vencida"),IF(Z131="","Reprogramar recepción","Reprogramada "&amp;TEXT(Z131,"dd/mm")),IF(Y131="Pendiente","En espera",IF(U131="N","Completar documentos",IF(AB131="Revisar","Revisar importe facturado",IF(AC131&lt;&gt;"S","Registrar en Kontrollers","OK"))))))))</f>
        <v/>
      </c>
      <c r="AE131" s="13"/>
    </row>
    <row r="132" customFormat="false" ht="15" hidden="false" customHeight="false" outlineLevel="0" collapsed="false">
      <c r="A132" s="13"/>
      <c r="B132" s="16"/>
      <c r="C132" s="13"/>
      <c r="D132" s="13"/>
      <c r="E132" s="13"/>
      <c r="F132" s="13"/>
      <c r="G132" s="18"/>
      <c r="H132" s="16"/>
      <c r="I132" s="16"/>
      <c r="J132" s="17"/>
      <c r="K132" s="17"/>
      <c r="L132" s="13"/>
      <c r="M132" s="13"/>
      <c r="N132" s="13"/>
      <c r="O132" s="13"/>
      <c r="P132" s="13"/>
      <c r="Q132" s="14" t="str">
        <f aca="false">IF(B132="","",MONTH(B132))</f>
        <v/>
      </c>
      <c r="R132" s="20" t="str">
        <f aca="false">IF(OR(J132="",J132=0),"",MIN(1,K132/J132))</f>
        <v/>
      </c>
      <c r="S132" s="21" t="str">
        <f aca="true">IF(H132="","",IF(I132="",MAX(0,TODAY()-H132),MAX(0,I132-H132)))</f>
        <v/>
      </c>
      <c r="T132" s="14" t="str">
        <f aca="false">IF(OR(H132="",I132=""),"",IF(I132&lt;=H132,"S","N"))</f>
        <v/>
      </c>
      <c r="U132" s="14" t="str">
        <f aca="false">IF(A132="","",IF(AND(N132="S",O132="S",P132="S"),"S","N"))</f>
        <v/>
      </c>
      <c r="V132" s="13"/>
      <c r="W132" s="18"/>
      <c r="X132" s="19" t="str">
        <f aca="false">IF(W132="","",W132-G132)</f>
        <v/>
      </c>
      <c r="Y132" s="14" t="str">
        <f aca="true">IF(A132="","",IF(K132=0,IF(AND(H132&lt;&gt;"",TODAY()&gt;H132),"Vencida","Pendiente"),IF(K132&lt;J132,"Parcial","Completa")))</f>
        <v/>
      </c>
      <c r="Z132" s="16"/>
      <c r="AA132" s="13"/>
      <c r="AB132" s="14" t="str">
        <f aca="false">IF(W132="","Sin factura",IF(ABS(X132)&lt;=0.01,"OK","Revisar"))</f>
        <v>Sin factura</v>
      </c>
      <c r="AC132" s="13"/>
      <c r="AD132" s="14" t="str">
        <f aca="false">IF(A132="","",IF(L132="N","Producto no conforme",IF(M132="N","Falta registro sanitario",IF(OR(Y132="Parcial",Y132="Vencida"),IF(Z132="","Reprogramar recepción","Reprogramada "&amp;TEXT(Z132,"dd/mm")),IF(Y132="Pendiente","En espera",IF(U132="N","Completar documentos",IF(AB132="Revisar","Revisar importe facturado",IF(AC132&lt;&gt;"S","Registrar en Kontrollers","OK"))))))))</f>
        <v/>
      </c>
      <c r="AE132" s="13"/>
    </row>
    <row r="133" customFormat="false" ht="15" hidden="false" customHeight="false" outlineLevel="0" collapsed="false">
      <c r="A133" s="13"/>
      <c r="B133" s="16"/>
      <c r="C133" s="13"/>
      <c r="D133" s="13"/>
      <c r="E133" s="13"/>
      <c r="F133" s="13"/>
      <c r="G133" s="18"/>
      <c r="H133" s="16"/>
      <c r="I133" s="16"/>
      <c r="J133" s="17"/>
      <c r="K133" s="17"/>
      <c r="L133" s="13"/>
      <c r="M133" s="13"/>
      <c r="N133" s="13"/>
      <c r="O133" s="13"/>
      <c r="P133" s="13"/>
      <c r="Q133" s="14" t="str">
        <f aca="false">IF(B133="","",MONTH(B133))</f>
        <v/>
      </c>
      <c r="R133" s="20" t="str">
        <f aca="false">IF(OR(J133="",J133=0),"",MIN(1,K133/J133))</f>
        <v/>
      </c>
      <c r="S133" s="21" t="str">
        <f aca="true">IF(H133="","",IF(I133="",MAX(0,TODAY()-H133),MAX(0,I133-H133)))</f>
        <v/>
      </c>
      <c r="T133" s="14" t="str">
        <f aca="false">IF(OR(H133="",I133=""),"",IF(I133&lt;=H133,"S","N"))</f>
        <v/>
      </c>
      <c r="U133" s="14" t="str">
        <f aca="false">IF(A133="","",IF(AND(N133="S",O133="S",P133="S"),"S","N"))</f>
        <v/>
      </c>
      <c r="V133" s="13"/>
      <c r="W133" s="18"/>
      <c r="X133" s="19" t="str">
        <f aca="false">IF(W133="","",W133-G133)</f>
        <v/>
      </c>
      <c r="Y133" s="14" t="str">
        <f aca="true">IF(A133="","",IF(K133=0,IF(AND(H133&lt;&gt;"",TODAY()&gt;H133),"Vencida","Pendiente"),IF(K133&lt;J133,"Parcial","Completa")))</f>
        <v/>
      </c>
      <c r="Z133" s="16"/>
      <c r="AA133" s="13"/>
      <c r="AB133" s="14" t="str">
        <f aca="false">IF(W133="","Sin factura",IF(ABS(X133)&lt;=0.01,"OK","Revisar"))</f>
        <v>Sin factura</v>
      </c>
      <c r="AC133" s="13"/>
      <c r="AD133" s="14" t="str">
        <f aca="false">IF(A133="","",IF(L133="N","Producto no conforme",IF(M133="N","Falta registro sanitario",IF(OR(Y133="Parcial",Y133="Vencida"),IF(Z133="","Reprogramar recepción","Reprogramada "&amp;TEXT(Z133,"dd/mm")),IF(Y133="Pendiente","En espera",IF(U133="N","Completar documentos",IF(AB133="Revisar","Revisar importe facturado",IF(AC133&lt;&gt;"S","Registrar en Kontrollers","OK"))))))))</f>
        <v/>
      </c>
      <c r="AE133" s="13"/>
    </row>
    <row r="134" customFormat="false" ht="15" hidden="false" customHeight="false" outlineLevel="0" collapsed="false">
      <c r="A134" s="13"/>
      <c r="B134" s="16"/>
      <c r="C134" s="13"/>
      <c r="D134" s="13"/>
      <c r="E134" s="13"/>
      <c r="F134" s="13"/>
      <c r="G134" s="18"/>
      <c r="H134" s="16"/>
      <c r="I134" s="16"/>
      <c r="J134" s="17"/>
      <c r="K134" s="17"/>
      <c r="L134" s="13"/>
      <c r="M134" s="13"/>
      <c r="N134" s="13"/>
      <c r="O134" s="13"/>
      <c r="P134" s="13"/>
      <c r="Q134" s="14" t="str">
        <f aca="false">IF(B134="","",MONTH(B134))</f>
        <v/>
      </c>
      <c r="R134" s="20" t="str">
        <f aca="false">IF(OR(J134="",J134=0),"",MIN(1,K134/J134))</f>
        <v/>
      </c>
      <c r="S134" s="21" t="str">
        <f aca="true">IF(H134="","",IF(I134="",MAX(0,TODAY()-H134),MAX(0,I134-H134)))</f>
        <v/>
      </c>
      <c r="T134" s="14" t="str">
        <f aca="false">IF(OR(H134="",I134=""),"",IF(I134&lt;=H134,"S","N"))</f>
        <v/>
      </c>
      <c r="U134" s="14" t="str">
        <f aca="false">IF(A134="","",IF(AND(N134="S",O134="S",P134="S"),"S","N"))</f>
        <v/>
      </c>
      <c r="V134" s="13"/>
      <c r="W134" s="18"/>
      <c r="X134" s="19" t="str">
        <f aca="false">IF(W134="","",W134-G134)</f>
        <v/>
      </c>
      <c r="Y134" s="14" t="str">
        <f aca="true">IF(A134="","",IF(K134=0,IF(AND(H134&lt;&gt;"",TODAY()&gt;H134),"Vencida","Pendiente"),IF(K134&lt;J134,"Parcial","Completa")))</f>
        <v/>
      </c>
      <c r="Z134" s="16"/>
      <c r="AA134" s="13"/>
      <c r="AB134" s="14" t="str">
        <f aca="false">IF(W134="","Sin factura",IF(ABS(X134)&lt;=0.01,"OK","Revisar"))</f>
        <v>Sin factura</v>
      </c>
      <c r="AC134" s="13"/>
      <c r="AD134" s="14" t="str">
        <f aca="false">IF(A134="","",IF(L134="N","Producto no conforme",IF(M134="N","Falta registro sanitario",IF(OR(Y134="Parcial",Y134="Vencida"),IF(Z134="","Reprogramar recepción","Reprogramada "&amp;TEXT(Z134,"dd/mm")),IF(Y134="Pendiente","En espera",IF(U134="N","Completar documentos",IF(AB134="Revisar","Revisar importe facturado",IF(AC134&lt;&gt;"S","Registrar en Kontrollers","OK"))))))))</f>
        <v/>
      </c>
      <c r="AE134" s="13"/>
    </row>
    <row r="135" customFormat="false" ht="15" hidden="false" customHeight="false" outlineLevel="0" collapsed="false">
      <c r="A135" s="13"/>
      <c r="B135" s="16"/>
      <c r="C135" s="13"/>
      <c r="D135" s="13"/>
      <c r="E135" s="13"/>
      <c r="F135" s="13"/>
      <c r="G135" s="18"/>
      <c r="H135" s="16"/>
      <c r="I135" s="16"/>
      <c r="J135" s="17"/>
      <c r="K135" s="17"/>
      <c r="L135" s="13"/>
      <c r="M135" s="13"/>
      <c r="N135" s="13"/>
      <c r="O135" s="13"/>
      <c r="P135" s="13"/>
      <c r="Q135" s="14" t="str">
        <f aca="false">IF(B135="","",MONTH(B135))</f>
        <v/>
      </c>
      <c r="R135" s="20" t="str">
        <f aca="false">IF(OR(J135="",J135=0),"",MIN(1,K135/J135))</f>
        <v/>
      </c>
      <c r="S135" s="21" t="str">
        <f aca="true">IF(H135="","",IF(I135="",MAX(0,TODAY()-H135),MAX(0,I135-H135)))</f>
        <v/>
      </c>
      <c r="T135" s="14" t="str">
        <f aca="false">IF(OR(H135="",I135=""),"",IF(I135&lt;=H135,"S","N"))</f>
        <v/>
      </c>
      <c r="U135" s="14" t="str">
        <f aca="false">IF(A135="","",IF(AND(N135="S",O135="S",P135="S"),"S","N"))</f>
        <v/>
      </c>
      <c r="V135" s="13"/>
      <c r="W135" s="18"/>
      <c r="X135" s="19" t="str">
        <f aca="false">IF(W135="","",W135-G135)</f>
        <v/>
      </c>
      <c r="Y135" s="14" t="str">
        <f aca="true">IF(A135="","",IF(K135=0,IF(AND(H135&lt;&gt;"",TODAY()&gt;H135),"Vencida","Pendiente"),IF(K135&lt;J135,"Parcial","Completa")))</f>
        <v/>
      </c>
      <c r="Z135" s="16"/>
      <c r="AA135" s="13"/>
      <c r="AB135" s="14" t="str">
        <f aca="false">IF(W135="","Sin factura",IF(ABS(X135)&lt;=0.01,"OK","Revisar"))</f>
        <v>Sin factura</v>
      </c>
      <c r="AC135" s="13"/>
      <c r="AD135" s="14" t="str">
        <f aca="false">IF(A135="","",IF(L135="N","Producto no conforme",IF(M135="N","Falta registro sanitario",IF(OR(Y135="Parcial",Y135="Vencida"),IF(Z135="","Reprogramar recepción","Reprogramada "&amp;TEXT(Z135,"dd/mm")),IF(Y135="Pendiente","En espera",IF(U135="N","Completar documentos",IF(AB135="Revisar","Revisar importe facturado",IF(AC135&lt;&gt;"S","Registrar en Kontrollers","OK"))))))))</f>
        <v/>
      </c>
      <c r="AE135" s="13"/>
    </row>
    <row r="136" customFormat="false" ht="15" hidden="false" customHeight="false" outlineLevel="0" collapsed="false">
      <c r="A136" s="13"/>
      <c r="B136" s="16"/>
      <c r="C136" s="13"/>
      <c r="D136" s="13"/>
      <c r="E136" s="13"/>
      <c r="F136" s="13"/>
      <c r="G136" s="18"/>
      <c r="H136" s="16"/>
      <c r="I136" s="16"/>
      <c r="J136" s="17"/>
      <c r="K136" s="17"/>
      <c r="L136" s="13"/>
      <c r="M136" s="13"/>
      <c r="N136" s="13"/>
      <c r="O136" s="13"/>
      <c r="P136" s="13"/>
      <c r="Q136" s="14" t="str">
        <f aca="false">IF(B136="","",MONTH(B136))</f>
        <v/>
      </c>
      <c r="R136" s="20" t="str">
        <f aca="false">IF(OR(J136="",J136=0),"",MIN(1,K136/J136))</f>
        <v/>
      </c>
      <c r="S136" s="21" t="str">
        <f aca="true">IF(H136="","",IF(I136="",MAX(0,TODAY()-H136),MAX(0,I136-H136)))</f>
        <v/>
      </c>
      <c r="T136" s="14" t="str">
        <f aca="false">IF(OR(H136="",I136=""),"",IF(I136&lt;=H136,"S","N"))</f>
        <v/>
      </c>
      <c r="U136" s="14" t="str">
        <f aca="false">IF(A136="","",IF(AND(N136="S",O136="S",P136="S"),"S","N"))</f>
        <v/>
      </c>
      <c r="V136" s="13"/>
      <c r="W136" s="18"/>
      <c r="X136" s="19" t="str">
        <f aca="false">IF(W136="","",W136-G136)</f>
        <v/>
      </c>
      <c r="Y136" s="14" t="str">
        <f aca="true">IF(A136="","",IF(K136=0,IF(AND(H136&lt;&gt;"",TODAY()&gt;H136),"Vencida","Pendiente"),IF(K136&lt;J136,"Parcial","Completa")))</f>
        <v/>
      </c>
      <c r="Z136" s="16"/>
      <c r="AA136" s="13"/>
      <c r="AB136" s="14" t="str">
        <f aca="false">IF(W136="","Sin factura",IF(ABS(X136)&lt;=0.01,"OK","Revisar"))</f>
        <v>Sin factura</v>
      </c>
      <c r="AC136" s="13"/>
      <c r="AD136" s="14" t="str">
        <f aca="false">IF(A136="","",IF(L136="N","Producto no conforme",IF(M136="N","Falta registro sanitario",IF(OR(Y136="Parcial",Y136="Vencida"),IF(Z136="","Reprogramar recepción","Reprogramada "&amp;TEXT(Z136,"dd/mm")),IF(Y136="Pendiente","En espera",IF(U136="N","Completar documentos",IF(AB136="Revisar","Revisar importe facturado",IF(AC136&lt;&gt;"S","Registrar en Kontrollers","OK"))))))))</f>
        <v/>
      </c>
      <c r="AE136" s="13"/>
    </row>
    <row r="137" customFormat="false" ht="15" hidden="false" customHeight="false" outlineLevel="0" collapsed="false">
      <c r="A137" s="13"/>
      <c r="B137" s="16"/>
      <c r="C137" s="13"/>
      <c r="D137" s="13"/>
      <c r="E137" s="13"/>
      <c r="F137" s="13"/>
      <c r="G137" s="18"/>
      <c r="H137" s="16"/>
      <c r="I137" s="16"/>
      <c r="J137" s="17"/>
      <c r="K137" s="17"/>
      <c r="L137" s="13"/>
      <c r="M137" s="13"/>
      <c r="N137" s="13"/>
      <c r="O137" s="13"/>
      <c r="P137" s="13"/>
      <c r="Q137" s="14" t="str">
        <f aca="false">IF(B137="","",MONTH(B137))</f>
        <v/>
      </c>
      <c r="R137" s="20" t="str">
        <f aca="false">IF(OR(J137="",J137=0),"",MIN(1,K137/J137))</f>
        <v/>
      </c>
      <c r="S137" s="21" t="str">
        <f aca="true">IF(H137="","",IF(I137="",MAX(0,TODAY()-H137),MAX(0,I137-H137)))</f>
        <v/>
      </c>
      <c r="T137" s="14" t="str">
        <f aca="false">IF(OR(H137="",I137=""),"",IF(I137&lt;=H137,"S","N"))</f>
        <v/>
      </c>
      <c r="U137" s="14" t="str">
        <f aca="false">IF(A137="","",IF(AND(N137="S",O137="S",P137="S"),"S","N"))</f>
        <v/>
      </c>
      <c r="V137" s="13"/>
      <c r="W137" s="18"/>
      <c r="X137" s="19" t="str">
        <f aca="false">IF(W137="","",W137-G137)</f>
        <v/>
      </c>
      <c r="Y137" s="14" t="str">
        <f aca="true">IF(A137="","",IF(K137=0,IF(AND(H137&lt;&gt;"",TODAY()&gt;H137),"Vencida","Pendiente"),IF(K137&lt;J137,"Parcial","Completa")))</f>
        <v/>
      </c>
      <c r="Z137" s="16"/>
      <c r="AA137" s="13"/>
      <c r="AB137" s="14" t="str">
        <f aca="false">IF(W137="","Sin factura",IF(ABS(X137)&lt;=0.01,"OK","Revisar"))</f>
        <v>Sin factura</v>
      </c>
      <c r="AC137" s="13"/>
      <c r="AD137" s="14" t="str">
        <f aca="false">IF(A137="","",IF(L137="N","Producto no conforme",IF(M137="N","Falta registro sanitario",IF(OR(Y137="Parcial",Y137="Vencida"),IF(Z137="","Reprogramar recepción","Reprogramada "&amp;TEXT(Z137,"dd/mm")),IF(Y137="Pendiente","En espera",IF(U137="N","Completar documentos",IF(AB137="Revisar","Revisar importe facturado",IF(AC137&lt;&gt;"S","Registrar en Kontrollers","OK"))))))))</f>
        <v/>
      </c>
      <c r="AE137" s="13"/>
    </row>
    <row r="138" customFormat="false" ht="15" hidden="false" customHeight="false" outlineLevel="0" collapsed="false">
      <c r="A138" s="13"/>
      <c r="B138" s="16"/>
      <c r="C138" s="13"/>
      <c r="D138" s="13"/>
      <c r="E138" s="13"/>
      <c r="F138" s="13"/>
      <c r="G138" s="18"/>
      <c r="H138" s="16"/>
      <c r="I138" s="16"/>
      <c r="J138" s="17"/>
      <c r="K138" s="17"/>
      <c r="L138" s="13"/>
      <c r="M138" s="13"/>
      <c r="N138" s="13"/>
      <c r="O138" s="13"/>
      <c r="P138" s="13"/>
      <c r="Q138" s="14" t="str">
        <f aca="false">IF(B138="","",MONTH(B138))</f>
        <v/>
      </c>
      <c r="R138" s="20" t="str">
        <f aca="false">IF(OR(J138="",J138=0),"",MIN(1,K138/J138))</f>
        <v/>
      </c>
      <c r="S138" s="21" t="str">
        <f aca="true">IF(H138="","",IF(I138="",MAX(0,TODAY()-H138),MAX(0,I138-H138)))</f>
        <v/>
      </c>
      <c r="T138" s="14" t="str">
        <f aca="false">IF(OR(H138="",I138=""),"",IF(I138&lt;=H138,"S","N"))</f>
        <v/>
      </c>
      <c r="U138" s="14" t="str">
        <f aca="false">IF(A138="","",IF(AND(N138="S",O138="S",P138="S"),"S","N"))</f>
        <v/>
      </c>
      <c r="V138" s="13"/>
      <c r="W138" s="18"/>
      <c r="X138" s="19" t="str">
        <f aca="false">IF(W138="","",W138-G138)</f>
        <v/>
      </c>
      <c r="Y138" s="14" t="str">
        <f aca="true">IF(A138="","",IF(K138=0,IF(AND(H138&lt;&gt;"",TODAY()&gt;H138),"Vencida","Pendiente"),IF(K138&lt;J138,"Parcial","Completa")))</f>
        <v/>
      </c>
      <c r="Z138" s="16"/>
      <c r="AA138" s="13"/>
      <c r="AB138" s="14" t="str">
        <f aca="false">IF(W138="","Sin factura",IF(ABS(X138)&lt;=0.01,"OK","Revisar"))</f>
        <v>Sin factura</v>
      </c>
      <c r="AC138" s="13"/>
      <c r="AD138" s="14" t="str">
        <f aca="false">IF(A138="","",IF(L138="N","Producto no conforme",IF(M138="N","Falta registro sanitario",IF(OR(Y138="Parcial",Y138="Vencida"),IF(Z138="","Reprogramar recepción","Reprogramada "&amp;TEXT(Z138,"dd/mm")),IF(Y138="Pendiente","En espera",IF(U138="N","Completar documentos",IF(AB138="Revisar","Revisar importe facturado",IF(AC138&lt;&gt;"S","Registrar en Kontrollers","OK"))))))))</f>
        <v/>
      </c>
      <c r="AE138" s="13"/>
    </row>
    <row r="139" customFormat="false" ht="15" hidden="false" customHeight="false" outlineLevel="0" collapsed="false">
      <c r="A139" s="13"/>
      <c r="B139" s="16"/>
      <c r="C139" s="13"/>
      <c r="D139" s="13"/>
      <c r="E139" s="13"/>
      <c r="F139" s="13"/>
      <c r="G139" s="18"/>
      <c r="H139" s="16"/>
      <c r="I139" s="16"/>
      <c r="J139" s="17"/>
      <c r="K139" s="17"/>
      <c r="L139" s="13"/>
      <c r="M139" s="13"/>
      <c r="N139" s="13"/>
      <c r="O139" s="13"/>
      <c r="P139" s="13"/>
      <c r="Q139" s="14" t="str">
        <f aca="false">IF(B139="","",MONTH(B139))</f>
        <v/>
      </c>
      <c r="R139" s="20" t="str">
        <f aca="false">IF(OR(J139="",J139=0),"",MIN(1,K139/J139))</f>
        <v/>
      </c>
      <c r="S139" s="21" t="str">
        <f aca="true">IF(H139="","",IF(I139="",MAX(0,TODAY()-H139),MAX(0,I139-H139)))</f>
        <v/>
      </c>
      <c r="T139" s="14" t="str">
        <f aca="false">IF(OR(H139="",I139=""),"",IF(I139&lt;=H139,"S","N"))</f>
        <v/>
      </c>
      <c r="U139" s="14" t="str">
        <f aca="false">IF(A139="","",IF(AND(N139="S",O139="S",P139="S"),"S","N"))</f>
        <v/>
      </c>
      <c r="V139" s="13"/>
      <c r="W139" s="18"/>
      <c r="X139" s="19" t="str">
        <f aca="false">IF(W139="","",W139-G139)</f>
        <v/>
      </c>
      <c r="Y139" s="14" t="str">
        <f aca="true">IF(A139="","",IF(K139=0,IF(AND(H139&lt;&gt;"",TODAY()&gt;H139),"Vencida","Pendiente"),IF(K139&lt;J139,"Parcial","Completa")))</f>
        <v/>
      </c>
      <c r="Z139" s="16"/>
      <c r="AA139" s="13"/>
      <c r="AB139" s="14" t="str">
        <f aca="false">IF(W139="","Sin factura",IF(ABS(X139)&lt;=0.01,"OK","Revisar"))</f>
        <v>Sin factura</v>
      </c>
      <c r="AC139" s="13"/>
      <c r="AD139" s="14" t="str">
        <f aca="false">IF(A139="","",IF(L139="N","Producto no conforme",IF(M139="N","Falta registro sanitario",IF(OR(Y139="Parcial",Y139="Vencida"),IF(Z139="","Reprogramar recepción","Reprogramada "&amp;TEXT(Z139,"dd/mm")),IF(Y139="Pendiente","En espera",IF(U139="N","Completar documentos",IF(AB139="Revisar","Revisar importe facturado",IF(AC139&lt;&gt;"S","Registrar en Kontrollers","OK"))))))))</f>
        <v/>
      </c>
      <c r="AE139" s="13"/>
    </row>
    <row r="140" customFormat="false" ht="15" hidden="false" customHeight="false" outlineLevel="0" collapsed="false">
      <c r="A140" s="13"/>
      <c r="B140" s="16"/>
      <c r="C140" s="13"/>
      <c r="D140" s="13"/>
      <c r="E140" s="13"/>
      <c r="F140" s="13"/>
      <c r="G140" s="18"/>
      <c r="H140" s="16"/>
      <c r="I140" s="16"/>
      <c r="J140" s="17"/>
      <c r="K140" s="17"/>
      <c r="L140" s="13"/>
      <c r="M140" s="13"/>
      <c r="N140" s="13"/>
      <c r="O140" s="13"/>
      <c r="P140" s="13"/>
      <c r="Q140" s="14" t="str">
        <f aca="false">IF(B140="","",MONTH(B140))</f>
        <v/>
      </c>
      <c r="R140" s="20" t="str">
        <f aca="false">IF(OR(J140="",J140=0),"",MIN(1,K140/J140))</f>
        <v/>
      </c>
      <c r="S140" s="21" t="str">
        <f aca="true">IF(H140="","",IF(I140="",MAX(0,TODAY()-H140),MAX(0,I140-H140)))</f>
        <v/>
      </c>
      <c r="T140" s="14" t="str">
        <f aca="false">IF(OR(H140="",I140=""),"",IF(I140&lt;=H140,"S","N"))</f>
        <v/>
      </c>
      <c r="U140" s="14" t="str">
        <f aca="false">IF(A140="","",IF(AND(N140="S",O140="S",P140="S"),"S","N"))</f>
        <v/>
      </c>
      <c r="V140" s="13"/>
      <c r="W140" s="18"/>
      <c r="X140" s="19" t="str">
        <f aca="false">IF(W140="","",W140-G140)</f>
        <v/>
      </c>
      <c r="Y140" s="14" t="str">
        <f aca="true">IF(A140="","",IF(K140=0,IF(AND(H140&lt;&gt;"",TODAY()&gt;H140),"Vencida","Pendiente"),IF(K140&lt;J140,"Parcial","Completa")))</f>
        <v/>
      </c>
      <c r="Z140" s="16"/>
      <c r="AA140" s="13"/>
      <c r="AB140" s="14" t="str">
        <f aca="false">IF(W140="","Sin factura",IF(ABS(X140)&lt;=0.01,"OK","Revisar"))</f>
        <v>Sin factura</v>
      </c>
      <c r="AC140" s="13"/>
      <c r="AD140" s="14" t="str">
        <f aca="false">IF(A140="","",IF(L140="N","Producto no conforme",IF(M140="N","Falta registro sanitario",IF(OR(Y140="Parcial",Y140="Vencida"),IF(Z140="","Reprogramar recepción","Reprogramada "&amp;TEXT(Z140,"dd/mm")),IF(Y140="Pendiente","En espera",IF(U140="N","Completar documentos",IF(AB140="Revisar","Revisar importe facturado",IF(AC140&lt;&gt;"S","Registrar en Kontrollers","OK"))))))))</f>
        <v/>
      </c>
      <c r="AE140" s="13"/>
    </row>
    <row r="141" customFormat="false" ht="15" hidden="false" customHeight="false" outlineLevel="0" collapsed="false">
      <c r="A141" s="13"/>
      <c r="B141" s="16"/>
      <c r="C141" s="13"/>
      <c r="D141" s="13"/>
      <c r="E141" s="13"/>
      <c r="F141" s="13"/>
      <c r="G141" s="18"/>
      <c r="H141" s="16"/>
      <c r="I141" s="16"/>
      <c r="J141" s="17"/>
      <c r="K141" s="17"/>
      <c r="L141" s="13"/>
      <c r="M141" s="13"/>
      <c r="N141" s="13"/>
      <c r="O141" s="13"/>
      <c r="P141" s="13"/>
      <c r="Q141" s="14" t="str">
        <f aca="false">IF(B141="","",MONTH(B141))</f>
        <v/>
      </c>
      <c r="R141" s="20" t="str">
        <f aca="false">IF(OR(J141="",J141=0),"",MIN(1,K141/J141))</f>
        <v/>
      </c>
      <c r="S141" s="21" t="str">
        <f aca="true">IF(H141="","",IF(I141="",MAX(0,TODAY()-H141),MAX(0,I141-H141)))</f>
        <v/>
      </c>
      <c r="T141" s="14" t="str">
        <f aca="false">IF(OR(H141="",I141=""),"",IF(I141&lt;=H141,"S","N"))</f>
        <v/>
      </c>
      <c r="U141" s="14" t="str">
        <f aca="false">IF(A141="","",IF(AND(N141="S",O141="S",P141="S"),"S","N"))</f>
        <v/>
      </c>
      <c r="V141" s="13"/>
      <c r="W141" s="18"/>
      <c r="X141" s="19" t="str">
        <f aca="false">IF(W141="","",W141-G141)</f>
        <v/>
      </c>
      <c r="Y141" s="14" t="str">
        <f aca="true">IF(A141="","",IF(K141=0,IF(AND(H141&lt;&gt;"",TODAY()&gt;H141),"Vencida","Pendiente"),IF(K141&lt;J141,"Parcial","Completa")))</f>
        <v/>
      </c>
      <c r="Z141" s="16"/>
      <c r="AA141" s="13"/>
      <c r="AB141" s="14" t="str">
        <f aca="false">IF(W141="","Sin factura",IF(ABS(X141)&lt;=0.01,"OK","Revisar"))</f>
        <v>Sin factura</v>
      </c>
      <c r="AC141" s="13"/>
      <c r="AD141" s="14" t="str">
        <f aca="false">IF(A141="","",IF(L141="N","Producto no conforme",IF(M141="N","Falta registro sanitario",IF(OR(Y141="Parcial",Y141="Vencida"),IF(Z141="","Reprogramar recepción","Reprogramada "&amp;TEXT(Z141,"dd/mm")),IF(Y141="Pendiente","En espera",IF(U141="N","Completar documentos",IF(AB141="Revisar","Revisar importe facturado",IF(AC141&lt;&gt;"S","Registrar en Kontrollers","OK"))))))))</f>
        <v/>
      </c>
      <c r="AE141" s="13"/>
    </row>
    <row r="142" customFormat="false" ht="15" hidden="false" customHeight="false" outlineLevel="0" collapsed="false">
      <c r="A142" s="13"/>
      <c r="B142" s="16"/>
      <c r="C142" s="13"/>
      <c r="D142" s="13"/>
      <c r="E142" s="13"/>
      <c r="F142" s="13"/>
      <c r="G142" s="18"/>
      <c r="H142" s="16"/>
      <c r="I142" s="16"/>
      <c r="J142" s="17"/>
      <c r="K142" s="17"/>
      <c r="L142" s="13"/>
      <c r="M142" s="13"/>
      <c r="N142" s="13"/>
      <c r="O142" s="13"/>
      <c r="P142" s="13"/>
      <c r="Q142" s="14" t="str">
        <f aca="false">IF(B142="","",MONTH(B142))</f>
        <v/>
      </c>
      <c r="R142" s="20" t="str">
        <f aca="false">IF(OR(J142="",J142=0),"",MIN(1,K142/J142))</f>
        <v/>
      </c>
      <c r="S142" s="21" t="str">
        <f aca="true">IF(H142="","",IF(I142="",MAX(0,TODAY()-H142),MAX(0,I142-H142)))</f>
        <v/>
      </c>
      <c r="T142" s="14" t="str">
        <f aca="false">IF(OR(H142="",I142=""),"",IF(I142&lt;=H142,"S","N"))</f>
        <v/>
      </c>
      <c r="U142" s="14" t="str">
        <f aca="false">IF(A142="","",IF(AND(N142="S",O142="S",P142="S"),"S","N"))</f>
        <v/>
      </c>
      <c r="V142" s="13"/>
      <c r="W142" s="18"/>
      <c r="X142" s="19" t="str">
        <f aca="false">IF(W142="","",W142-G142)</f>
        <v/>
      </c>
      <c r="Y142" s="14" t="str">
        <f aca="true">IF(A142="","",IF(K142=0,IF(AND(H142&lt;&gt;"",TODAY()&gt;H142),"Vencida","Pendiente"),IF(K142&lt;J142,"Parcial","Completa")))</f>
        <v/>
      </c>
      <c r="Z142" s="16"/>
      <c r="AA142" s="13"/>
      <c r="AB142" s="14" t="str">
        <f aca="false">IF(W142="","Sin factura",IF(ABS(X142)&lt;=0.01,"OK","Revisar"))</f>
        <v>Sin factura</v>
      </c>
      <c r="AC142" s="13"/>
      <c r="AD142" s="14" t="str">
        <f aca="false">IF(A142="","",IF(L142="N","Producto no conforme",IF(M142="N","Falta registro sanitario",IF(OR(Y142="Parcial",Y142="Vencida"),IF(Z142="","Reprogramar recepción","Reprogramada "&amp;TEXT(Z142,"dd/mm")),IF(Y142="Pendiente","En espera",IF(U142="N","Completar documentos",IF(AB142="Revisar","Revisar importe facturado",IF(AC142&lt;&gt;"S","Registrar en Kontrollers","OK"))))))))</f>
        <v/>
      </c>
      <c r="AE142" s="13"/>
    </row>
    <row r="143" customFormat="false" ht="15" hidden="false" customHeight="false" outlineLevel="0" collapsed="false">
      <c r="A143" s="13"/>
      <c r="B143" s="16"/>
      <c r="C143" s="13"/>
      <c r="D143" s="13"/>
      <c r="E143" s="13"/>
      <c r="F143" s="13"/>
      <c r="G143" s="18"/>
      <c r="H143" s="16"/>
      <c r="I143" s="16"/>
      <c r="J143" s="17"/>
      <c r="K143" s="17"/>
      <c r="L143" s="13"/>
      <c r="M143" s="13"/>
      <c r="N143" s="13"/>
      <c r="O143" s="13"/>
      <c r="P143" s="13"/>
      <c r="Q143" s="14" t="str">
        <f aca="false">IF(B143="","",MONTH(B143))</f>
        <v/>
      </c>
      <c r="R143" s="20" t="str">
        <f aca="false">IF(OR(J143="",J143=0),"",MIN(1,K143/J143))</f>
        <v/>
      </c>
      <c r="S143" s="21" t="str">
        <f aca="true">IF(H143="","",IF(I143="",MAX(0,TODAY()-H143),MAX(0,I143-H143)))</f>
        <v/>
      </c>
      <c r="T143" s="14" t="str">
        <f aca="false">IF(OR(H143="",I143=""),"",IF(I143&lt;=H143,"S","N"))</f>
        <v/>
      </c>
      <c r="U143" s="14" t="str">
        <f aca="false">IF(A143="","",IF(AND(N143="S",O143="S",P143="S"),"S","N"))</f>
        <v/>
      </c>
      <c r="V143" s="13"/>
      <c r="W143" s="18"/>
      <c r="X143" s="19" t="str">
        <f aca="false">IF(W143="","",W143-G143)</f>
        <v/>
      </c>
      <c r="Y143" s="14" t="str">
        <f aca="true">IF(A143="","",IF(K143=0,IF(AND(H143&lt;&gt;"",TODAY()&gt;H143),"Vencida","Pendiente"),IF(K143&lt;J143,"Parcial","Completa")))</f>
        <v/>
      </c>
      <c r="Z143" s="16"/>
      <c r="AA143" s="13"/>
      <c r="AB143" s="14" t="str">
        <f aca="false">IF(W143="","Sin factura",IF(ABS(X143)&lt;=0.01,"OK","Revisar"))</f>
        <v>Sin factura</v>
      </c>
      <c r="AC143" s="13"/>
      <c r="AD143" s="14" t="str">
        <f aca="false">IF(A143="","",IF(L143="N","Producto no conforme",IF(M143="N","Falta registro sanitario",IF(OR(Y143="Parcial",Y143="Vencida"),IF(Z143="","Reprogramar recepción","Reprogramada "&amp;TEXT(Z143,"dd/mm")),IF(Y143="Pendiente","En espera",IF(U143="N","Completar documentos",IF(AB143="Revisar","Revisar importe facturado",IF(AC143&lt;&gt;"S","Registrar en Kontrollers","OK"))))))))</f>
        <v/>
      </c>
      <c r="AE143" s="13"/>
    </row>
    <row r="144" customFormat="false" ht="15" hidden="false" customHeight="false" outlineLevel="0" collapsed="false">
      <c r="A144" s="13"/>
      <c r="B144" s="16"/>
      <c r="C144" s="13"/>
      <c r="D144" s="13"/>
      <c r="E144" s="13"/>
      <c r="F144" s="13"/>
      <c r="G144" s="18"/>
      <c r="H144" s="16"/>
      <c r="I144" s="16"/>
      <c r="J144" s="17"/>
      <c r="K144" s="17"/>
      <c r="L144" s="13"/>
      <c r="M144" s="13"/>
      <c r="N144" s="13"/>
      <c r="O144" s="13"/>
      <c r="P144" s="13"/>
      <c r="Q144" s="14" t="str">
        <f aca="false">IF(B144="","",MONTH(B144))</f>
        <v/>
      </c>
      <c r="R144" s="20" t="str">
        <f aca="false">IF(OR(J144="",J144=0),"",MIN(1,K144/J144))</f>
        <v/>
      </c>
      <c r="S144" s="21" t="str">
        <f aca="true">IF(H144="","",IF(I144="",MAX(0,TODAY()-H144),MAX(0,I144-H144)))</f>
        <v/>
      </c>
      <c r="T144" s="14" t="str">
        <f aca="false">IF(OR(H144="",I144=""),"",IF(I144&lt;=H144,"S","N"))</f>
        <v/>
      </c>
      <c r="U144" s="14" t="str">
        <f aca="false">IF(A144="","",IF(AND(N144="S",O144="S",P144="S"),"S","N"))</f>
        <v/>
      </c>
      <c r="V144" s="13"/>
      <c r="W144" s="18"/>
      <c r="X144" s="19" t="str">
        <f aca="false">IF(W144="","",W144-G144)</f>
        <v/>
      </c>
      <c r="Y144" s="14" t="str">
        <f aca="true">IF(A144="","",IF(K144=0,IF(AND(H144&lt;&gt;"",TODAY()&gt;H144),"Vencida","Pendiente"),IF(K144&lt;J144,"Parcial","Completa")))</f>
        <v/>
      </c>
      <c r="Z144" s="16"/>
      <c r="AA144" s="13"/>
      <c r="AB144" s="14" t="str">
        <f aca="false">IF(W144="","Sin factura",IF(ABS(X144)&lt;=0.01,"OK","Revisar"))</f>
        <v>Sin factura</v>
      </c>
      <c r="AC144" s="13"/>
      <c r="AD144" s="14" t="str">
        <f aca="false">IF(A144="","",IF(L144="N","Producto no conforme",IF(M144="N","Falta registro sanitario",IF(OR(Y144="Parcial",Y144="Vencida"),IF(Z144="","Reprogramar recepción","Reprogramada "&amp;TEXT(Z144,"dd/mm")),IF(Y144="Pendiente","En espera",IF(U144="N","Completar documentos",IF(AB144="Revisar","Revisar importe facturado",IF(AC144&lt;&gt;"S","Registrar en Kontrollers","OK"))))))))</f>
        <v/>
      </c>
      <c r="AE144" s="13"/>
    </row>
    <row r="145" customFormat="false" ht="15" hidden="false" customHeight="false" outlineLevel="0" collapsed="false">
      <c r="A145" s="13"/>
      <c r="B145" s="16"/>
      <c r="C145" s="13"/>
      <c r="D145" s="13"/>
      <c r="E145" s="13"/>
      <c r="F145" s="13"/>
      <c r="G145" s="18"/>
      <c r="H145" s="16"/>
      <c r="I145" s="16"/>
      <c r="J145" s="17"/>
      <c r="K145" s="17"/>
      <c r="L145" s="13"/>
      <c r="M145" s="13"/>
      <c r="N145" s="13"/>
      <c r="O145" s="13"/>
      <c r="P145" s="13"/>
      <c r="Q145" s="14" t="str">
        <f aca="false">IF(B145="","",MONTH(B145))</f>
        <v/>
      </c>
      <c r="R145" s="20" t="str">
        <f aca="false">IF(OR(J145="",J145=0),"",MIN(1,K145/J145))</f>
        <v/>
      </c>
      <c r="S145" s="21" t="str">
        <f aca="true">IF(H145="","",IF(I145="",MAX(0,TODAY()-H145),MAX(0,I145-H145)))</f>
        <v/>
      </c>
      <c r="T145" s="14" t="str">
        <f aca="false">IF(OR(H145="",I145=""),"",IF(I145&lt;=H145,"S","N"))</f>
        <v/>
      </c>
      <c r="U145" s="14" t="str">
        <f aca="false">IF(A145="","",IF(AND(N145="S",O145="S",P145="S"),"S","N"))</f>
        <v/>
      </c>
      <c r="V145" s="13"/>
      <c r="W145" s="18"/>
      <c r="X145" s="19" t="str">
        <f aca="false">IF(W145="","",W145-G145)</f>
        <v/>
      </c>
      <c r="Y145" s="14" t="str">
        <f aca="true">IF(A145="","",IF(K145=0,IF(AND(H145&lt;&gt;"",TODAY()&gt;H145),"Vencida","Pendiente"),IF(K145&lt;J145,"Parcial","Completa")))</f>
        <v/>
      </c>
      <c r="Z145" s="16"/>
      <c r="AA145" s="13"/>
      <c r="AB145" s="14" t="str">
        <f aca="false">IF(W145="","Sin factura",IF(ABS(X145)&lt;=0.01,"OK","Revisar"))</f>
        <v>Sin factura</v>
      </c>
      <c r="AC145" s="13"/>
      <c r="AD145" s="14" t="str">
        <f aca="false">IF(A145="","",IF(L145="N","Producto no conforme",IF(M145="N","Falta registro sanitario",IF(OR(Y145="Parcial",Y145="Vencida"),IF(Z145="","Reprogramar recepción","Reprogramada "&amp;TEXT(Z145,"dd/mm")),IF(Y145="Pendiente","En espera",IF(U145="N","Completar documentos",IF(AB145="Revisar","Revisar importe facturado",IF(AC145&lt;&gt;"S","Registrar en Kontrollers","OK"))))))))</f>
        <v/>
      </c>
      <c r="AE145" s="13"/>
    </row>
    <row r="146" customFormat="false" ht="15" hidden="false" customHeight="false" outlineLevel="0" collapsed="false">
      <c r="A146" s="13"/>
      <c r="B146" s="16"/>
      <c r="C146" s="13"/>
      <c r="D146" s="13"/>
      <c r="E146" s="13"/>
      <c r="F146" s="13"/>
      <c r="G146" s="18"/>
      <c r="H146" s="16"/>
      <c r="I146" s="16"/>
      <c r="J146" s="17"/>
      <c r="K146" s="17"/>
      <c r="L146" s="13"/>
      <c r="M146" s="13"/>
      <c r="N146" s="13"/>
      <c r="O146" s="13"/>
      <c r="P146" s="13"/>
      <c r="Q146" s="14" t="str">
        <f aca="false">IF(B146="","",MONTH(B146))</f>
        <v/>
      </c>
      <c r="R146" s="20" t="str">
        <f aca="false">IF(OR(J146="",J146=0),"",MIN(1,K146/J146))</f>
        <v/>
      </c>
      <c r="S146" s="21" t="str">
        <f aca="true">IF(H146="","",IF(I146="",MAX(0,TODAY()-H146),MAX(0,I146-H146)))</f>
        <v/>
      </c>
      <c r="T146" s="14" t="str">
        <f aca="false">IF(OR(H146="",I146=""),"",IF(I146&lt;=H146,"S","N"))</f>
        <v/>
      </c>
      <c r="U146" s="14" t="str">
        <f aca="false">IF(A146="","",IF(AND(N146="S",O146="S",P146="S"),"S","N"))</f>
        <v/>
      </c>
      <c r="V146" s="13"/>
      <c r="W146" s="18"/>
      <c r="X146" s="19" t="str">
        <f aca="false">IF(W146="","",W146-G146)</f>
        <v/>
      </c>
      <c r="Y146" s="14" t="str">
        <f aca="true">IF(A146="","",IF(K146=0,IF(AND(H146&lt;&gt;"",TODAY()&gt;H146),"Vencida","Pendiente"),IF(K146&lt;J146,"Parcial","Completa")))</f>
        <v/>
      </c>
      <c r="Z146" s="16"/>
      <c r="AA146" s="13"/>
      <c r="AB146" s="14" t="str">
        <f aca="false">IF(W146="","Sin factura",IF(ABS(X146)&lt;=0.01,"OK","Revisar"))</f>
        <v>Sin factura</v>
      </c>
      <c r="AC146" s="13"/>
      <c r="AD146" s="14" t="str">
        <f aca="false">IF(A146="","",IF(L146="N","Producto no conforme",IF(M146="N","Falta registro sanitario",IF(OR(Y146="Parcial",Y146="Vencida"),IF(Z146="","Reprogramar recepción","Reprogramada "&amp;TEXT(Z146,"dd/mm")),IF(Y146="Pendiente","En espera",IF(U146="N","Completar documentos",IF(AB146="Revisar","Revisar importe facturado",IF(AC146&lt;&gt;"S","Registrar en Kontrollers","OK"))))))))</f>
        <v/>
      </c>
      <c r="AE146" s="13"/>
    </row>
    <row r="147" customFormat="false" ht="15" hidden="false" customHeight="false" outlineLevel="0" collapsed="false">
      <c r="A147" s="13"/>
      <c r="B147" s="16"/>
      <c r="C147" s="13"/>
      <c r="D147" s="13"/>
      <c r="E147" s="13"/>
      <c r="F147" s="13"/>
      <c r="G147" s="18"/>
      <c r="H147" s="16"/>
      <c r="I147" s="16"/>
      <c r="J147" s="17"/>
      <c r="K147" s="17"/>
      <c r="L147" s="13"/>
      <c r="M147" s="13"/>
      <c r="N147" s="13"/>
      <c r="O147" s="13"/>
      <c r="P147" s="13"/>
      <c r="Q147" s="14" t="str">
        <f aca="false">IF(B147="","",MONTH(B147))</f>
        <v/>
      </c>
      <c r="R147" s="20" t="str">
        <f aca="false">IF(OR(J147="",J147=0),"",MIN(1,K147/J147))</f>
        <v/>
      </c>
      <c r="S147" s="21" t="str">
        <f aca="true">IF(H147="","",IF(I147="",MAX(0,TODAY()-H147),MAX(0,I147-H147)))</f>
        <v/>
      </c>
      <c r="T147" s="14" t="str">
        <f aca="false">IF(OR(H147="",I147=""),"",IF(I147&lt;=H147,"S","N"))</f>
        <v/>
      </c>
      <c r="U147" s="14" t="str">
        <f aca="false">IF(A147="","",IF(AND(N147="S",O147="S",P147="S"),"S","N"))</f>
        <v/>
      </c>
      <c r="V147" s="13"/>
      <c r="W147" s="18"/>
      <c r="X147" s="19" t="str">
        <f aca="false">IF(W147="","",W147-G147)</f>
        <v/>
      </c>
      <c r="Y147" s="14" t="str">
        <f aca="true">IF(A147="","",IF(K147=0,IF(AND(H147&lt;&gt;"",TODAY()&gt;H147),"Vencida","Pendiente"),IF(K147&lt;J147,"Parcial","Completa")))</f>
        <v/>
      </c>
      <c r="Z147" s="16"/>
      <c r="AA147" s="13"/>
      <c r="AB147" s="14" t="str">
        <f aca="false">IF(W147="","Sin factura",IF(ABS(X147)&lt;=0.01,"OK","Revisar"))</f>
        <v>Sin factura</v>
      </c>
      <c r="AC147" s="13"/>
      <c r="AD147" s="14" t="str">
        <f aca="false">IF(A147="","",IF(L147="N","Producto no conforme",IF(M147="N","Falta registro sanitario",IF(OR(Y147="Parcial",Y147="Vencida"),IF(Z147="","Reprogramar recepción","Reprogramada "&amp;TEXT(Z147,"dd/mm")),IF(Y147="Pendiente","En espera",IF(U147="N","Completar documentos",IF(AB147="Revisar","Revisar importe facturado",IF(AC147&lt;&gt;"S","Registrar en Kontrollers","OK"))))))))</f>
        <v/>
      </c>
      <c r="AE147" s="13"/>
    </row>
    <row r="148" customFormat="false" ht="15" hidden="false" customHeight="false" outlineLevel="0" collapsed="false">
      <c r="A148" s="13"/>
      <c r="B148" s="16"/>
      <c r="C148" s="13"/>
      <c r="D148" s="13"/>
      <c r="E148" s="13"/>
      <c r="F148" s="13"/>
      <c r="G148" s="18"/>
      <c r="H148" s="16"/>
      <c r="I148" s="16"/>
      <c r="J148" s="17"/>
      <c r="K148" s="17"/>
      <c r="L148" s="13"/>
      <c r="M148" s="13"/>
      <c r="N148" s="13"/>
      <c r="O148" s="13"/>
      <c r="P148" s="13"/>
      <c r="Q148" s="14" t="str">
        <f aca="false">IF(B148="","",MONTH(B148))</f>
        <v/>
      </c>
      <c r="R148" s="20" t="str">
        <f aca="false">IF(OR(J148="",J148=0),"",MIN(1,K148/J148))</f>
        <v/>
      </c>
      <c r="S148" s="21" t="str">
        <f aca="true">IF(H148="","",IF(I148="",MAX(0,TODAY()-H148),MAX(0,I148-H148)))</f>
        <v/>
      </c>
      <c r="T148" s="14" t="str">
        <f aca="false">IF(OR(H148="",I148=""),"",IF(I148&lt;=H148,"S","N"))</f>
        <v/>
      </c>
      <c r="U148" s="14" t="str">
        <f aca="false">IF(A148="","",IF(AND(N148="S",O148="S",P148="S"),"S","N"))</f>
        <v/>
      </c>
      <c r="V148" s="13"/>
      <c r="W148" s="18"/>
      <c r="X148" s="19" t="str">
        <f aca="false">IF(W148="","",W148-G148)</f>
        <v/>
      </c>
      <c r="Y148" s="14" t="str">
        <f aca="true">IF(A148="","",IF(K148=0,IF(AND(H148&lt;&gt;"",TODAY()&gt;H148),"Vencida","Pendiente"),IF(K148&lt;J148,"Parcial","Completa")))</f>
        <v/>
      </c>
      <c r="Z148" s="16"/>
      <c r="AA148" s="13"/>
      <c r="AB148" s="14" t="str">
        <f aca="false">IF(W148="","Sin factura",IF(ABS(X148)&lt;=0.01,"OK","Revisar"))</f>
        <v>Sin factura</v>
      </c>
      <c r="AC148" s="13"/>
      <c r="AD148" s="14" t="str">
        <f aca="false">IF(A148="","",IF(L148="N","Producto no conforme",IF(M148="N","Falta registro sanitario",IF(OR(Y148="Parcial",Y148="Vencida"),IF(Z148="","Reprogramar recepción","Reprogramada "&amp;TEXT(Z148,"dd/mm")),IF(Y148="Pendiente","En espera",IF(U148="N","Completar documentos",IF(AB148="Revisar","Revisar importe facturado",IF(AC148&lt;&gt;"S","Registrar en Kontrollers","OK"))))))))</f>
        <v/>
      </c>
      <c r="AE148" s="13"/>
    </row>
    <row r="149" customFormat="false" ht="15" hidden="false" customHeight="false" outlineLevel="0" collapsed="false">
      <c r="A149" s="13"/>
      <c r="B149" s="16"/>
      <c r="C149" s="13"/>
      <c r="D149" s="13"/>
      <c r="E149" s="13"/>
      <c r="F149" s="13"/>
      <c r="G149" s="18"/>
      <c r="H149" s="16"/>
      <c r="I149" s="16"/>
      <c r="J149" s="17"/>
      <c r="K149" s="17"/>
      <c r="L149" s="13"/>
      <c r="M149" s="13"/>
      <c r="N149" s="13"/>
      <c r="O149" s="13"/>
      <c r="P149" s="13"/>
      <c r="Q149" s="14" t="str">
        <f aca="false">IF(B149="","",MONTH(B149))</f>
        <v/>
      </c>
      <c r="R149" s="20" t="str">
        <f aca="false">IF(OR(J149="",J149=0),"",MIN(1,K149/J149))</f>
        <v/>
      </c>
      <c r="S149" s="21" t="str">
        <f aca="true">IF(H149="","",IF(I149="",MAX(0,TODAY()-H149),MAX(0,I149-H149)))</f>
        <v/>
      </c>
      <c r="T149" s="14" t="str">
        <f aca="false">IF(OR(H149="",I149=""),"",IF(I149&lt;=H149,"S","N"))</f>
        <v/>
      </c>
      <c r="U149" s="14" t="str">
        <f aca="false">IF(A149="","",IF(AND(N149="S",O149="S",P149="S"),"S","N"))</f>
        <v/>
      </c>
      <c r="V149" s="13"/>
      <c r="W149" s="18"/>
      <c r="X149" s="19" t="str">
        <f aca="false">IF(W149="","",W149-G149)</f>
        <v/>
      </c>
      <c r="Y149" s="14" t="str">
        <f aca="true">IF(A149="","",IF(K149=0,IF(AND(H149&lt;&gt;"",TODAY()&gt;H149),"Vencida","Pendiente"),IF(K149&lt;J149,"Parcial","Completa")))</f>
        <v/>
      </c>
      <c r="Z149" s="16"/>
      <c r="AA149" s="13"/>
      <c r="AB149" s="14" t="str">
        <f aca="false">IF(W149="","Sin factura",IF(ABS(X149)&lt;=0.01,"OK","Revisar"))</f>
        <v>Sin factura</v>
      </c>
      <c r="AC149" s="13"/>
      <c r="AD149" s="14" t="str">
        <f aca="false">IF(A149="","",IF(L149="N","Producto no conforme",IF(M149="N","Falta registro sanitario",IF(OR(Y149="Parcial",Y149="Vencida"),IF(Z149="","Reprogramar recepción","Reprogramada "&amp;TEXT(Z149,"dd/mm")),IF(Y149="Pendiente","En espera",IF(U149="N","Completar documentos",IF(AB149="Revisar","Revisar importe facturado",IF(AC149&lt;&gt;"S","Registrar en Kontrollers","OK"))))))))</f>
        <v/>
      </c>
      <c r="AE149" s="13"/>
    </row>
    <row r="150" customFormat="false" ht="15" hidden="false" customHeight="false" outlineLevel="0" collapsed="false">
      <c r="A150" s="13"/>
      <c r="B150" s="16"/>
      <c r="C150" s="13"/>
      <c r="D150" s="13"/>
      <c r="E150" s="13"/>
      <c r="F150" s="13"/>
      <c r="G150" s="18"/>
      <c r="H150" s="16"/>
      <c r="I150" s="16"/>
      <c r="J150" s="17"/>
      <c r="K150" s="17"/>
      <c r="L150" s="13"/>
      <c r="M150" s="13"/>
      <c r="N150" s="13"/>
      <c r="O150" s="13"/>
      <c r="P150" s="13"/>
      <c r="Q150" s="14" t="str">
        <f aca="false">IF(B150="","",MONTH(B150))</f>
        <v/>
      </c>
      <c r="R150" s="20" t="str">
        <f aca="false">IF(OR(J150="",J150=0),"",MIN(1,K150/J150))</f>
        <v/>
      </c>
      <c r="S150" s="21" t="str">
        <f aca="true">IF(H150="","",IF(I150="",MAX(0,TODAY()-H150),MAX(0,I150-H150)))</f>
        <v/>
      </c>
      <c r="T150" s="14" t="str">
        <f aca="false">IF(OR(H150="",I150=""),"",IF(I150&lt;=H150,"S","N"))</f>
        <v/>
      </c>
      <c r="U150" s="14" t="str">
        <f aca="false">IF(A150="","",IF(AND(N150="S",O150="S",P150="S"),"S","N"))</f>
        <v/>
      </c>
      <c r="V150" s="13"/>
      <c r="W150" s="18"/>
      <c r="X150" s="19" t="str">
        <f aca="false">IF(W150="","",W150-G150)</f>
        <v/>
      </c>
      <c r="Y150" s="14" t="str">
        <f aca="true">IF(A150="","",IF(K150=0,IF(AND(H150&lt;&gt;"",TODAY()&gt;H150),"Vencida","Pendiente"),IF(K150&lt;J150,"Parcial","Completa")))</f>
        <v/>
      </c>
      <c r="Z150" s="16"/>
      <c r="AA150" s="13"/>
      <c r="AB150" s="14" t="str">
        <f aca="false">IF(W150="","Sin factura",IF(ABS(X150)&lt;=0.01,"OK","Revisar"))</f>
        <v>Sin factura</v>
      </c>
      <c r="AC150" s="13"/>
      <c r="AD150" s="14" t="str">
        <f aca="false">IF(A150="","",IF(L150="N","Producto no conforme",IF(M150="N","Falta registro sanitario",IF(OR(Y150="Parcial",Y150="Vencida"),IF(Z150="","Reprogramar recepción","Reprogramada "&amp;TEXT(Z150,"dd/mm")),IF(Y150="Pendiente","En espera",IF(U150="N","Completar documentos",IF(AB150="Revisar","Revisar importe facturado",IF(AC150&lt;&gt;"S","Registrar en Kontrollers","OK"))))))))</f>
        <v/>
      </c>
      <c r="AE150" s="13"/>
    </row>
    <row r="151" customFormat="false" ht="15" hidden="false" customHeight="false" outlineLevel="0" collapsed="false">
      <c r="A151" s="13"/>
      <c r="B151" s="16"/>
      <c r="C151" s="13"/>
      <c r="D151" s="13"/>
      <c r="E151" s="13"/>
      <c r="F151" s="13"/>
      <c r="G151" s="18"/>
      <c r="H151" s="16"/>
      <c r="I151" s="16"/>
      <c r="J151" s="17"/>
      <c r="K151" s="17"/>
      <c r="L151" s="13"/>
      <c r="M151" s="13"/>
      <c r="N151" s="13"/>
      <c r="O151" s="13"/>
      <c r="P151" s="13"/>
      <c r="Q151" s="14" t="str">
        <f aca="false">IF(B151="","",MONTH(B151))</f>
        <v/>
      </c>
      <c r="R151" s="20" t="str">
        <f aca="false">IF(OR(J151="",J151=0),"",MIN(1,K151/J151))</f>
        <v/>
      </c>
      <c r="S151" s="21" t="str">
        <f aca="true">IF(H151="","",IF(I151="",MAX(0,TODAY()-H151),MAX(0,I151-H151)))</f>
        <v/>
      </c>
      <c r="T151" s="14" t="str">
        <f aca="false">IF(OR(H151="",I151=""),"",IF(I151&lt;=H151,"S","N"))</f>
        <v/>
      </c>
      <c r="U151" s="14" t="str">
        <f aca="false">IF(A151="","",IF(AND(N151="S",O151="S",P151="S"),"S","N"))</f>
        <v/>
      </c>
      <c r="V151" s="13"/>
      <c r="W151" s="18"/>
      <c r="X151" s="19" t="str">
        <f aca="false">IF(W151="","",W151-G151)</f>
        <v/>
      </c>
      <c r="Y151" s="14" t="str">
        <f aca="true">IF(A151="","",IF(K151=0,IF(AND(H151&lt;&gt;"",TODAY()&gt;H151),"Vencida","Pendiente"),IF(K151&lt;J151,"Parcial","Completa")))</f>
        <v/>
      </c>
      <c r="Z151" s="16"/>
      <c r="AA151" s="13"/>
      <c r="AB151" s="14" t="str">
        <f aca="false">IF(W151="","Sin factura",IF(ABS(X151)&lt;=0.01,"OK","Revisar"))</f>
        <v>Sin factura</v>
      </c>
      <c r="AC151" s="13"/>
      <c r="AD151" s="14" t="str">
        <f aca="false">IF(A151="","",IF(L151="N","Producto no conforme",IF(M151="N","Falta registro sanitario",IF(OR(Y151="Parcial",Y151="Vencida"),IF(Z151="","Reprogramar recepción","Reprogramada "&amp;TEXT(Z151,"dd/mm")),IF(Y151="Pendiente","En espera",IF(U151="N","Completar documentos",IF(AB151="Revisar","Revisar importe facturado",IF(AC151&lt;&gt;"S","Registrar en Kontrollers","OK"))))))))</f>
        <v/>
      </c>
      <c r="AE151" s="13"/>
    </row>
    <row r="152" customFormat="false" ht="15" hidden="false" customHeight="false" outlineLevel="0" collapsed="false">
      <c r="A152" s="13"/>
      <c r="B152" s="16"/>
      <c r="C152" s="13"/>
      <c r="D152" s="13"/>
      <c r="E152" s="13"/>
      <c r="F152" s="13"/>
      <c r="G152" s="18"/>
      <c r="H152" s="16"/>
      <c r="I152" s="16"/>
      <c r="J152" s="17"/>
      <c r="K152" s="17"/>
      <c r="L152" s="13"/>
      <c r="M152" s="13"/>
      <c r="N152" s="13"/>
      <c r="O152" s="13"/>
      <c r="P152" s="13"/>
      <c r="Q152" s="14" t="str">
        <f aca="false">IF(B152="","",MONTH(B152))</f>
        <v/>
      </c>
      <c r="R152" s="20" t="str">
        <f aca="false">IF(OR(J152="",J152=0),"",MIN(1,K152/J152))</f>
        <v/>
      </c>
      <c r="S152" s="21" t="str">
        <f aca="true">IF(H152="","",IF(I152="",MAX(0,TODAY()-H152),MAX(0,I152-H152)))</f>
        <v/>
      </c>
      <c r="T152" s="14" t="str">
        <f aca="false">IF(OR(H152="",I152=""),"",IF(I152&lt;=H152,"S","N"))</f>
        <v/>
      </c>
      <c r="U152" s="14" t="str">
        <f aca="false">IF(A152="","",IF(AND(N152="S",O152="S",P152="S"),"S","N"))</f>
        <v/>
      </c>
      <c r="V152" s="13"/>
      <c r="W152" s="18"/>
      <c r="X152" s="19" t="str">
        <f aca="false">IF(W152="","",W152-G152)</f>
        <v/>
      </c>
      <c r="Y152" s="14" t="str">
        <f aca="true">IF(A152="","",IF(K152=0,IF(AND(H152&lt;&gt;"",TODAY()&gt;H152),"Vencida","Pendiente"),IF(K152&lt;J152,"Parcial","Completa")))</f>
        <v/>
      </c>
      <c r="Z152" s="16"/>
      <c r="AA152" s="13"/>
      <c r="AB152" s="14" t="str">
        <f aca="false">IF(W152="","Sin factura",IF(ABS(X152)&lt;=0.01,"OK","Revisar"))</f>
        <v>Sin factura</v>
      </c>
      <c r="AC152" s="13"/>
      <c r="AD152" s="14" t="str">
        <f aca="false">IF(A152="","",IF(L152="N","Producto no conforme",IF(M152="N","Falta registro sanitario",IF(OR(Y152="Parcial",Y152="Vencida"),IF(Z152="","Reprogramar recepción","Reprogramada "&amp;TEXT(Z152,"dd/mm")),IF(Y152="Pendiente","En espera",IF(U152="N","Completar documentos",IF(AB152="Revisar","Revisar importe facturado",IF(AC152&lt;&gt;"S","Registrar en Kontrollers","OK"))))))))</f>
        <v/>
      </c>
      <c r="AE152" s="13"/>
    </row>
    <row r="153" customFormat="false" ht="15" hidden="false" customHeight="false" outlineLevel="0" collapsed="false">
      <c r="A153" s="13"/>
      <c r="B153" s="16"/>
      <c r="C153" s="13"/>
      <c r="D153" s="13"/>
      <c r="E153" s="13"/>
      <c r="F153" s="13"/>
      <c r="G153" s="18"/>
      <c r="H153" s="16"/>
      <c r="I153" s="16"/>
      <c r="J153" s="17"/>
      <c r="K153" s="17"/>
      <c r="L153" s="13"/>
      <c r="M153" s="13"/>
      <c r="N153" s="13"/>
      <c r="O153" s="13"/>
      <c r="P153" s="13"/>
      <c r="Q153" s="14" t="str">
        <f aca="false">IF(B153="","",MONTH(B153))</f>
        <v/>
      </c>
      <c r="R153" s="20" t="str">
        <f aca="false">IF(OR(J153="",J153=0),"",MIN(1,K153/J153))</f>
        <v/>
      </c>
      <c r="S153" s="21" t="str">
        <f aca="true">IF(H153="","",IF(I153="",MAX(0,TODAY()-H153),MAX(0,I153-H153)))</f>
        <v/>
      </c>
      <c r="T153" s="14" t="str">
        <f aca="false">IF(OR(H153="",I153=""),"",IF(I153&lt;=H153,"S","N"))</f>
        <v/>
      </c>
      <c r="U153" s="14" t="str">
        <f aca="false">IF(A153="","",IF(AND(N153="S",O153="S",P153="S"),"S","N"))</f>
        <v/>
      </c>
      <c r="V153" s="13"/>
      <c r="W153" s="18"/>
      <c r="X153" s="19" t="str">
        <f aca="false">IF(W153="","",W153-G153)</f>
        <v/>
      </c>
      <c r="Y153" s="14" t="str">
        <f aca="true">IF(A153="","",IF(K153=0,IF(AND(H153&lt;&gt;"",TODAY()&gt;H153),"Vencida","Pendiente"),IF(K153&lt;J153,"Parcial","Completa")))</f>
        <v/>
      </c>
      <c r="Z153" s="16"/>
      <c r="AA153" s="13"/>
      <c r="AB153" s="14" t="str">
        <f aca="false">IF(W153="","Sin factura",IF(ABS(X153)&lt;=0.01,"OK","Revisar"))</f>
        <v>Sin factura</v>
      </c>
      <c r="AC153" s="13"/>
      <c r="AD153" s="14" t="str">
        <f aca="false">IF(A153="","",IF(L153="N","Producto no conforme",IF(M153="N","Falta registro sanitario",IF(OR(Y153="Parcial",Y153="Vencida"),IF(Z153="","Reprogramar recepción","Reprogramada "&amp;TEXT(Z153,"dd/mm")),IF(Y153="Pendiente","En espera",IF(U153="N","Completar documentos",IF(AB153="Revisar","Revisar importe facturado",IF(AC153&lt;&gt;"S","Registrar en Kontrollers","OK"))))))))</f>
        <v/>
      </c>
      <c r="AE153" s="13"/>
    </row>
    <row r="154" customFormat="false" ht="15" hidden="false" customHeight="false" outlineLevel="0" collapsed="false">
      <c r="A154" s="13"/>
      <c r="B154" s="16"/>
      <c r="C154" s="13"/>
      <c r="D154" s="13"/>
      <c r="E154" s="13"/>
      <c r="F154" s="13"/>
      <c r="G154" s="18"/>
      <c r="H154" s="16"/>
      <c r="I154" s="16"/>
      <c r="J154" s="17"/>
      <c r="K154" s="17"/>
      <c r="L154" s="13"/>
      <c r="M154" s="13"/>
      <c r="N154" s="13"/>
      <c r="O154" s="13"/>
      <c r="P154" s="13"/>
      <c r="Q154" s="14" t="str">
        <f aca="false">IF(B154="","",MONTH(B154))</f>
        <v/>
      </c>
      <c r="R154" s="20" t="str">
        <f aca="false">IF(OR(J154="",J154=0),"",MIN(1,K154/J154))</f>
        <v/>
      </c>
      <c r="S154" s="21" t="str">
        <f aca="true">IF(H154="","",IF(I154="",MAX(0,TODAY()-H154),MAX(0,I154-H154)))</f>
        <v/>
      </c>
      <c r="T154" s="14" t="str">
        <f aca="false">IF(OR(H154="",I154=""),"",IF(I154&lt;=H154,"S","N"))</f>
        <v/>
      </c>
      <c r="U154" s="14" t="str">
        <f aca="false">IF(A154="","",IF(AND(N154="S",O154="S",P154="S"),"S","N"))</f>
        <v/>
      </c>
      <c r="V154" s="13"/>
      <c r="W154" s="18"/>
      <c r="X154" s="19" t="str">
        <f aca="false">IF(W154="","",W154-G154)</f>
        <v/>
      </c>
      <c r="Y154" s="14" t="str">
        <f aca="true">IF(A154="","",IF(K154=0,IF(AND(H154&lt;&gt;"",TODAY()&gt;H154),"Vencida","Pendiente"),IF(K154&lt;J154,"Parcial","Completa")))</f>
        <v/>
      </c>
      <c r="Z154" s="16"/>
      <c r="AA154" s="13"/>
      <c r="AB154" s="14" t="str">
        <f aca="false">IF(W154="","Sin factura",IF(ABS(X154)&lt;=0.01,"OK","Revisar"))</f>
        <v>Sin factura</v>
      </c>
      <c r="AC154" s="13"/>
      <c r="AD154" s="14" t="str">
        <f aca="false">IF(A154="","",IF(L154="N","Producto no conforme",IF(M154="N","Falta registro sanitario",IF(OR(Y154="Parcial",Y154="Vencida"),IF(Z154="","Reprogramar recepción","Reprogramada "&amp;TEXT(Z154,"dd/mm")),IF(Y154="Pendiente","En espera",IF(U154="N","Completar documentos",IF(AB154="Revisar","Revisar importe facturado",IF(AC154&lt;&gt;"S","Registrar en Kontrollers","OK"))))))))</f>
        <v/>
      </c>
      <c r="AE154" s="13"/>
    </row>
    <row r="155" customFormat="false" ht="15" hidden="false" customHeight="false" outlineLevel="0" collapsed="false">
      <c r="A155" s="13"/>
      <c r="B155" s="16"/>
      <c r="C155" s="13"/>
      <c r="D155" s="13"/>
      <c r="E155" s="13"/>
      <c r="F155" s="13"/>
      <c r="G155" s="18"/>
      <c r="H155" s="16"/>
      <c r="I155" s="16"/>
      <c r="J155" s="17"/>
      <c r="K155" s="17"/>
      <c r="L155" s="13"/>
      <c r="M155" s="13"/>
      <c r="N155" s="13"/>
      <c r="O155" s="13"/>
      <c r="P155" s="13"/>
      <c r="Q155" s="14" t="str">
        <f aca="false">IF(B155="","",MONTH(B155))</f>
        <v/>
      </c>
      <c r="R155" s="20" t="str">
        <f aca="false">IF(OR(J155="",J155=0),"",MIN(1,K155/J155))</f>
        <v/>
      </c>
      <c r="S155" s="21" t="str">
        <f aca="true">IF(H155="","",IF(I155="",MAX(0,TODAY()-H155),MAX(0,I155-H155)))</f>
        <v/>
      </c>
      <c r="T155" s="14" t="str">
        <f aca="false">IF(OR(H155="",I155=""),"",IF(I155&lt;=H155,"S","N"))</f>
        <v/>
      </c>
      <c r="U155" s="14" t="str">
        <f aca="false">IF(A155="","",IF(AND(N155="S",O155="S",P155="S"),"S","N"))</f>
        <v/>
      </c>
      <c r="V155" s="13"/>
      <c r="W155" s="18"/>
      <c r="X155" s="19" t="str">
        <f aca="false">IF(W155="","",W155-G155)</f>
        <v/>
      </c>
      <c r="Y155" s="14" t="str">
        <f aca="true">IF(A155="","",IF(K155=0,IF(AND(H155&lt;&gt;"",TODAY()&gt;H155),"Vencida","Pendiente"),IF(K155&lt;J155,"Parcial","Completa")))</f>
        <v/>
      </c>
      <c r="Z155" s="16"/>
      <c r="AA155" s="13"/>
      <c r="AB155" s="14" t="str">
        <f aca="false">IF(W155="","Sin factura",IF(ABS(X155)&lt;=0.01,"OK","Revisar"))</f>
        <v>Sin factura</v>
      </c>
      <c r="AC155" s="13"/>
      <c r="AD155" s="14" t="str">
        <f aca="false">IF(A155="","",IF(L155="N","Producto no conforme",IF(M155="N","Falta registro sanitario",IF(OR(Y155="Parcial",Y155="Vencida"),IF(Z155="","Reprogramar recepción","Reprogramada "&amp;TEXT(Z155,"dd/mm")),IF(Y155="Pendiente","En espera",IF(U155="N","Completar documentos",IF(AB155="Revisar","Revisar importe facturado",IF(AC155&lt;&gt;"S","Registrar en Kontrollers","OK"))))))))</f>
        <v/>
      </c>
      <c r="AE155" s="13"/>
    </row>
    <row r="156" customFormat="false" ht="15" hidden="false" customHeight="false" outlineLevel="0" collapsed="false">
      <c r="A156" s="13"/>
      <c r="B156" s="16"/>
      <c r="C156" s="13"/>
      <c r="D156" s="13"/>
      <c r="E156" s="13"/>
      <c r="F156" s="13"/>
      <c r="G156" s="18"/>
      <c r="H156" s="16"/>
      <c r="I156" s="16"/>
      <c r="J156" s="17"/>
      <c r="K156" s="17"/>
      <c r="L156" s="13"/>
      <c r="M156" s="13"/>
      <c r="N156" s="13"/>
      <c r="O156" s="13"/>
      <c r="P156" s="13"/>
      <c r="Q156" s="14" t="str">
        <f aca="false">IF(B156="","",MONTH(B156))</f>
        <v/>
      </c>
      <c r="R156" s="20" t="str">
        <f aca="false">IF(OR(J156="",J156=0),"",MIN(1,K156/J156))</f>
        <v/>
      </c>
      <c r="S156" s="21" t="str">
        <f aca="true">IF(H156="","",IF(I156="",MAX(0,TODAY()-H156),MAX(0,I156-H156)))</f>
        <v/>
      </c>
      <c r="T156" s="14" t="str">
        <f aca="false">IF(OR(H156="",I156=""),"",IF(I156&lt;=H156,"S","N"))</f>
        <v/>
      </c>
      <c r="U156" s="14" t="str">
        <f aca="false">IF(A156="","",IF(AND(N156="S",O156="S",P156="S"),"S","N"))</f>
        <v/>
      </c>
      <c r="V156" s="13"/>
      <c r="W156" s="18"/>
      <c r="X156" s="19" t="str">
        <f aca="false">IF(W156="","",W156-G156)</f>
        <v/>
      </c>
      <c r="Y156" s="14" t="str">
        <f aca="true">IF(A156="","",IF(K156=0,IF(AND(H156&lt;&gt;"",TODAY()&gt;H156),"Vencida","Pendiente"),IF(K156&lt;J156,"Parcial","Completa")))</f>
        <v/>
      </c>
      <c r="Z156" s="16"/>
      <c r="AA156" s="13"/>
      <c r="AB156" s="14" t="str">
        <f aca="false">IF(W156="","Sin factura",IF(ABS(X156)&lt;=0.01,"OK","Revisar"))</f>
        <v>Sin factura</v>
      </c>
      <c r="AC156" s="13"/>
      <c r="AD156" s="14" t="str">
        <f aca="false">IF(A156="","",IF(L156="N","Producto no conforme",IF(M156="N","Falta registro sanitario",IF(OR(Y156="Parcial",Y156="Vencida"),IF(Z156="","Reprogramar recepción","Reprogramada "&amp;TEXT(Z156,"dd/mm")),IF(Y156="Pendiente","En espera",IF(U156="N","Completar documentos",IF(AB156="Revisar","Revisar importe facturado",IF(AC156&lt;&gt;"S","Registrar en Kontrollers","OK"))))))))</f>
        <v/>
      </c>
      <c r="AE156" s="13"/>
    </row>
    <row r="157" customFormat="false" ht="15" hidden="false" customHeight="false" outlineLevel="0" collapsed="false">
      <c r="A157" s="13"/>
      <c r="B157" s="16"/>
      <c r="C157" s="13"/>
      <c r="D157" s="13"/>
      <c r="E157" s="13"/>
      <c r="F157" s="13"/>
      <c r="G157" s="18"/>
      <c r="H157" s="16"/>
      <c r="I157" s="16"/>
      <c r="J157" s="17"/>
      <c r="K157" s="17"/>
      <c r="L157" s="13"/>
      <c r="M157" s="13"/>
      <c r="N157" s="13"/>
      <c r="O157" s="13"/>
      <c r="P157" s="13"/>
      <c r="Q157" s="14" t="str">
        <f aca="false">IF(B157="","",MONTH(B157))</f>
        <v/>
      </c>
      <c r="R157" s="20" t="str">
        <f aca="false">IF(OR(J157="",J157=0),"",MIN(1,K157/J157))</f>
        <v/>
      </c>
      <c r="S157" s="21" t="str">
        <f aca="true">IF(H157="","",IF(I157="",MAX(0,TODAY()-H157),MAX(0,I157-H157)))</f>
        <v/>
      </c>
      <c r="T157" s="14" t="str">
        <f aca="false">IF(OR(H157="",I157=""),"",IF(I157&lt;=H157,"S","N"))</f>
        <v/>
      </c>
      <c r="U157" s="14" t="str">
        <f aca="false">IF(A157="","",IF(AND(N157="S",O157="S",P157="S"),"S","N"))</f>
        <v/>
      </c>
      <c r="V157" s="13"/>
      <c r="W157" s="18"/>
      <c r="X157" s="19" t="str">
        <f aca="false">IF(W157="","",W157-G157)</f>
        <v/>
      </c>
      <c r="Y157" s="14" t="str">
        <f aca="true">IF(A157="","",IF(K157=0,IF(AND(H157&lt;&gt;"",TODAY()&gt;H157),"Vencida","Pendiente"),IF(K157&lt;J157,"Parcial","Completa")))</f>
        <v/>
      </c>
      <c r="Z157" s="16"/>
      <c r="AA157" s="13"/>
      <c r="AB157" s="14" t="str">
        <f aca="false">IF(W157="","Sin factura",IF(ABS(X157)&lt;=0.01,"OK","Revisar"))</f>
        <v>Sin factura</v>
      </c>
      <c r="AC157" s="13"/>
      <c r="AD157" s="14" t="str">
        <f aca="false">IF(A157="","",IF(L157="N","Producto no conforme",IF(M157="N","Falta registro sanitario",IF(OR(Y157="Parcial",Y157="Vencida"),IF(Z157="","Reprogramar recepción","Reprogramada "&amp;TEXT(Z157,"dd/mm")),IF(Y157="Pendiente","En espera",IF(U157="N","Completar documentos",IF(AB157="Revisar","Revisar importe facturado",IF(AC157&lt;&gt;"S","Registrar en Kontrollers","OK"))))))))</f>
        <v/>
      </c>
      <c r="AE157" s="13"/>
    </row>
    <row r="158" customFormat="false" ht="15" hidden="false" customHeight="false" outlineLevel="0" collapsed="false">
      <c r="A158" s="13"/>
      <c r="B158" s="16"/>
      <c r="C158" s="13"/>
      <c r="D158" s="13"/>
      <c r="E158" s="13"/>
      <c r="F158" s="13"/>
      <c r="G158" s="18"/>
      <c r="H158" s="16"/>
      <c r="I158" s="16"/>
      <c r="J158" s="17"/>
      <c r="K158" s="17"/>
      <c r="L158" s="13"/>
      <c r="M158" s="13"/>
      <c r="N158" s="13"/>
      <c r="O158" s="13"/>
      <c r="P158" s="13"/>
      <c r="Q158" s="14" t="str">
        <f aca="false">IF(B158="","",MONTH(B158))</f>
        <v/>
      </c>
      <c r="R158" s="20" t="str">
        <f aca="false">IF(OR(J158="",J158=0),"",MIN(1,K158/J158))</f>
        <v/>
      </c>
      <c r="S158" s="21" t="str">
        <f aca="true">IF(H158="","",IF(I158="",MAX(0,TODAY()-H158),MAX(0,I158-H158)))</f>
        <v/>
      </c>
      <c r="T158" s="14" t="str">
        <f aca="false">IF(OR(H158="",I158=""),"",IF(I158&lt;=H158,"S","N"))</f>
        <v/>
      </c>
      <c r="U158" s="14" t="str">
        <f aca="false">IF(A158="","",IF(AND(N158="S",O158="S",P158="S"),"S","N"))</f>
        <v/>
      </c>
      <c r="V158" s="13"/>
      <c r="W158" s="18"/>
      <c r="X158" s="19" t="str">
        <f aca="false">IF(W158="","",W158-G158)</f>
        <v/>
      </c>
      <c r="Y158" s="14" t="str">
        <f aca="true">IF(A158="","",IF(K158=0,IF(AND(H158&lt;&gt;"",TODAY()&gt;H158),"Vencida","Pendiente"),IF(K158&lt;J158,"Parcial","Completa")))</f>
        <v/>
      </c>
      <c r="Z158" s="16"/>
      <c r="AA158" s="13"/>
      <c r="AB158" s="14" t="str">
        <f aca="false">IF(W158="","Sin factura",IF(ABS(X158)&lt;=0.01,"OK","Revisar"))</f>
        <v>Sin factura</v>
      </c>
      <c r="AC158" s="13"/>
      <c r="AD158" s="14" t="str">
        <f aca="false">IF(A158="","",IF(L158="N","Producto no conforme",IF(M158="N","Falta registro sanitario",IF(OR(Y158="Parcial",Y158="Vencida"),IF(Z158="","Reprogramar recepción","Reprogramada "&amp;TEXT(Z158,"dd/mm")),IF(Y158="Pendiente","En espera",IF(U158="N","Completar documentos",IF(AB158="Revisar","Revisar importe facturado",IF(AC158&lt;&gt;"S","Registrar en Kontrollers","OK"))))))))</f>
        <v/>
      </c>
      <c r="AE158" s="13"/>
    </row>
    <row r="159" customFormat="false" ht="15" hidden="false" customHeight="false" outlineLevel="0" collapsed="false">
      <c r="A159" s="13"/>
      <c r="B159" s="16"/>
      <c r="C159" s="13"/>
      <c r="D159" s="13"/>
      <c r="E159" s="13"/>
      <c r="F159" s="13"/>
      <c r="G159" s="18"/>
      <c r="H159" s="16"/>
      <c r="I159" s="16"/>
      <c r="J159" s="17"/>
      <c r="K159" s="17"/>
      <c r="L159" s="13"/>
      <c r="M159" s="13"/>
      <c r="N159" s="13"/>
      <c r="O159" s="13"/>
      <c r="P159" s="13"/>
      <c r="Q159" s="14" t="str">
        <f aca="false">IF(B159="","",MONTH(B159))</f>
        <v/>
      </c>
      <c r="R159" s="20" t="str">
        <f aca="false">IF(OR(J159="",J159=0),"",MIN(1,K159/J159))</f>
        <v/>
      </c>
      <c r="S159" s="21" t="str">
        <f aca="true">IF(H159="","",IF(I159="",MAX(0,TODAY()-H159),MAX(0,I159-H159)))</f>
        <v/>
      </c>
      <c r="T159" s="14" t="str">
        <f aca="false">IF(OR(H159="",I159=""),"",IF(I159&lt;=H159,"S","N"))</f>
        <v/>
      </c>
      <c r="U159" s="14" t="str">
        <f aca="false">IF(A159="","",IF(AND(N159="S",O159="S",P159="S"),"S","N"))</f>
        <v/>
      </c>
      <c r="V159" s="13"/>
      <c r="W159" s="18"/>
      <c r="X159" s="19" t="str">
        <f aca="false">IF(W159="","",W159-G159)</f>
        <v/>
      </c>
      <c r="Y159" s="14" t="str">
        <f aca="true">IF(A159="","",IF(K159=0,IF(AND(H159&lt;&gt;"",TODAY()&gt;H159),"Vencida","Pendiente"),IF(K159&lt;J159,"Parcial","Completa")))</f>
        <v/>
      </c>
      <c r="Z159" s="16"/>
      <c r="AA159" s="13"/>
      <c r="AB159" s="14" t="str">
        <f aca="false">IF(W159="","Sin factura",IF(ABS(X159)&lt;=0.01,"OK","Revisar"))</f>
        <v>Sin factura</v>
      </c>
      <c r="AC159" s="13"/>
      <c r="AD159" s="14" t="str">
        <f aca="false">IF(A159="","",IF(L159="N","Producto no conforme",IF(M159="N","Falta registro sanitario",IF(OR(Y159="Parcial",Y159="Vencida"),IF(Z159="","Reprogramar recepción","Reprogramada "&amp;TEXT(Z159,"dd/mm")),IF(Y159="Pendiente","En espera",IF(U159="N","Completar documentos",IF(AB159="Revisar","Revisar importe facturado",IF(AC159&lt;&gt;"S","Registrar en Kontrollers","OK"))))))))</f>
        <v/>
      </c>
      <c r="AE159" s="13"/>
    </row>
    <row r="160" customFormat="false" ht="15" hidden="false" customHeight="false" outlineLevel="0" collapsed="false">
      <c r="A160" s="13"/>
      <c r="B160" s="16"/>
      <c r="C160" s="13"/>
      <c r="D160" s="13"/>
      <c r="E160" s="13"/>
      <c r="F160" s="13"/>
      <c r="G160" s="18"/>
      <c r="H160" s="16"/>
      <c r="I160" s="16"/>
      <c r="J160" s="17"/>
      <c r="K160" s="17"/>
      <c r="L160" s="13"/>
      <c r="M160" s="13"/>
      <c r="N160" s="13"/>
      <c r="O160" s="13"/>
      <c r="P160" s="13"/>
      <c r="Q160" s="14" t="str">
        <f aca="false">IF(B160="","",MONTH(B160))</f>
        <v/>
      </c>
      <c r="R160" s="20" t="str">
        <f aca="false">IF(OR(J160="",J160=0),"",MIN(1,K160/J160))</f>
        <v/>
      </c>
      <c r="S160" s="21" t="str">
        <f aca="true">IF(H160="","",IF(I160="",MAX(0,TODAY()-H160),MAX(0,I160-H160)))</f>
        <v/>
      </c>
      <c r="T160" s="14" t="str">
        <f aca="false">IF(OR(H160="",I160=""),"",IF(I160&lt;=H160,"S","N"))</f>
        <v/>
      </c>
      <c r="U160" s="14" t="str">
        <f aca="false">IF(A160="","",IF(AND(N160="S",O160="S",P160="S"),"S","N"))</f>
        <v/>
      </c>
      <c r="V160" s="13"/>
      <c r="W160" s="18"/>
      <c r="X160" s="19" t="str">
        <f aca="false">IF(W160="","",W160-G160)</f>
        <v/>
      </c>
      <c r="Y160" s="14" t="str">
        <f aca="true">IF(A160="","",IF(K160=0,IF(AND(H160&lt;&gt;"",TODAY()&gt;H160),"Vencida","Pendiente"),IF(K160&lt;J160,"Parcial","Completa")))</f>
        <v/>
      </c>
      <c r="Z160" s="16"/>
      <c r="AA160" s="13"/>
      <c r="AB160" s="14" t="str">
        <f aca="false">IF(W160="","Sin factura",IF(ABS(X160)&lt;=0.01,"OK","Revisar"))</f>
        <v>Sin factura</v>
      </c>
      <c r="AC160" s="13"/>
      <c r="AD160" s="14" t="str">
        <f aca="false">IF(A160="","",IF(L160="N","Producto no conforme",IF(M160="N","Falta registro sanitario",IF(OR(Y160="Parcial",Y160="Vencida"),IF(Z160="","Reprogramar recepción","Reprogramada "&amp;TEXT(Z160,"dd/mm")),IF(Y160="Pendiente","En espera",IF(U160="N","Completar documentos",IF(AB160="Revisar","Revisar importe facturado",IF(AC160&lt;&gt;"S","Registrar en Kontrollers","OK"))))))))</f>
        <v/>
      </c>
      <c r="AE160" s="13"/>
    </row>
    <row r="161" customFormat="false" ht="15" hidden="false" customHeight="false" outlineLevel="0" collapsed="false">
      <c r="A161" s="13"/>
      <c r="B161" s="16"/>
      <c r="C161" s="13"/>
      <c r="D161" s="13"/>
      <c r="E161" s="13"/>
      <c r="F161" s="13"/>
      <c r="G161" s="18"/>
      <c r="H161" s="16"/>
      <c r="I161" s="16"/>
      <c r="J161" s="17"/>
      <c r="K161" s="17"/>
      <c r="L161" s="13"/>
      <c r="M161" s="13"/>
      <c r="N161" s="13"/>
      <c r="O161" s="13"/>
      <c r="P161" s="13"/>
      <c r="Q161" s="14" t="str">
        <f aca="false">IF(B161="","",MONTH(B161))</f>
        <v/>
      </c>
      <c r="R161" s="20" t="str">
        <f aca="false">IF(OR(J161="",J161=0),"",MIN(1,K161/J161))</f>
        <v/>
      </c>
      <c r="S161" s="21" t="str">
        <f aca="true">IF(H161="","",IF(I161="",MAX(0,TODAY()-H161),MAX(0,I161-H161)))</f>
        <v/>
      </c>
      <c r="T161" s="14" t="str">
        <f aca="false">IF(OR(H161="",I161=""),"",IF(I161&lt;=H161,"S","N"))</f>
        <v/>
      </c>
      <c r="U161" s="14" t="str">
        <f aca="false">IF(A161="","",IF(AND(N161="S",O161="S",P161="S"),"S","N"))</f>
        <v/>
      </c>
      <c r="V161" s="13"/>
      <c r="W161" s="18"/>
      <c r="X161" s="19" t="str">
        <f aca="false">IF(W161="","",W161-G161)</f>
        <v/>
      </c>
      <c r="Y161" s="14" t="str">
        <f aca="true">IF(A161="","",IF(K161=0,IF(AND(H161&lt;&gt;"",TODAY()&gt;H161),"Vencida","Pendiente"),IF(K161&lt;J161,"Parcial","Completa")))</f>
        <v/>
      </c>
      <c r="Z161" s="16"/>
      <c r="AA161" s="13"/>
      <c r="AB161" s="14" t="str">
        <f aca="false">IF(W161="","Sin factura",IF(ABS(X161)&lt;=0.01,"OK","Revisar"))</f>
        <v>Sin factura</v>
      </c>
      <c r="AC161" s="13"/>
      <c r="AD161" s="14" t="str">
        <f aca="false">IF(A161="","",IF(L161="N","Producto no conforme",IF(M161="N","Falta registro sanitario",IF(OR(Y161="Parcial",Y161="Vencida"),IF(Z161="","Reprogramar recepción","Reprogramada "&amp;TEXT(Z161,"dd/mm")),IF(Y161="Pendiente","En espera",IF(U161="N","Completar documentos",IF(AB161="Revisar","Revisar importe facturado",IF(AC161&lt;&gt;"S","Registrar en Kontrollers","OK"))))))))</f>
        <v/>
      </c>
      <c r="AE161" s="13"/>
    </row>
    <row r="162" customFormat="false" ht="15" hidden="false" customHeight="false" outlineLevel="0" collapsed="false">
      <c r="A162" s="13"/>
      <c r="B162" s="16"/>
      <c r="C162" s="13"/>
      <c r="D162" s="13"/>
      <c r="E162" s="13"/>
      <c r="F162" s="13"/>
      <c r="G162" s="18"/>
      <c r="H162" s="16"/>
      <c r="I162" s="16"/>
      <c r="J162" s="17"/>
      <c r="K162" s="17"/>
      <c r="L162" s="13"/>
      <c r="M162" s="13"/>
      <c r="N162" s="13"/>
      <c r="O162" s="13"/>
      <c r="P162" s="13"/>
      <c r="Q162" s="14" t="str">
        <f aca="false">IF(B162="","",MONTH(B162))</f>
        <v/>
      </c>
      <c r="R162" s="20" t="str">
        <f aca="false">IF(OR(J162="",J162=0),"",MIN(1,K162/J162))</f>
        <v/>
      </c>
      <c r="S162" s="21" t="str">
        <f aca="true">IF(H162="","",IF(I162="",MAX(0,TODAY()-H162),MAX(0,I162-H162)))</f>
        <v/>
      </c>
      <c r="T162" s="14" t="str">
        <f aca="false">IF(OR(H162="",I162=""),"",IF(I162&lt;=H162,"S","N"))</f>
        <v/>
      </c>
      <c r="U162" s="14" t="str">
        <f aca="false">IF(A162="","",IF(AND(N162="S",O162="S",P162="S"),"S","N"))</f>
        <v/>
      </c>
      <c r="V162" s="13"/>
      <c r="W162" s="18"/>
      <c r="X162" s="19" t="str">
        <f aca="false">IF(W162="","",W162-G162)</f>
        <v/>
      </c>
      <c r="Y162" s="14" t="str">
        <f aca="true">IF(A162="","",IF(K162=0,IF(AND(H162&lt;&gt;"",TODAY()&gt;H162),"Vencida","Pendiente"),IF(K162&lt;J162,"Parcial","Completa")))</f>
        <v/>
      </c>
      <c r="Z162" s="16"/>
      <c r="AA162" s="13"/>
      <c r="AB162" s="14" t="str">
        <f aca="false">IF(W162="","Sin factura",IF(ABS(X162)&lt;=0.01,"OK","Revisar"))</f>
        <v>Sin factura</v>
      </c>
      <c r="AC162" s="13"/>
      <c r="AD162" s="14" t="str">
        <f aca="false">IF(A162="","",IF(L162="N","Producto no conforme",IF(M162="N","Falta registro sanitario",IF(OR(Y162="Parcial",Y162="Vencida"),IF(Z162="","Reprogramar recepción","Reprogramada "&amp;TEXT(Z162,"dd/mm")),IF(Y162="Pendiente","En espera",IF(U162="N","Completar documentos",IF(AB162="Revisar","Revisar importe facturado",IF(AC162&lt;&gt;"S","Registrar en Kontrollers","OK"))))))))</f>
        <v/>
      </c>
      <c r="AE162" s="13"/>
    </row>
    <row r="163" customFormat="false" ht="15" hidden="false" customHeight="false" outlineLevel="0" collapsed="false">
      <c r="A163" s="13"/>
      <c r="B163" s="16"/>
      <c r="C163" s="13"/>
      <c r="D163" s="13"/>
      <c r="E163" s="13"/>
      <c r="F163" s="13"/>
      <c r="G163" s="18"/>
      <c r="H163" s="16"/>
      <c r="I163" s="16"/>
      <c r="J163" s="17"/>
      <c r="K163" s="17"/>
      <c r="L163" s="13"/>
      <c r="M163" s="13"/>
      <c r="N163" s="13"/>
      <c r="O163" s="13"/>
      <c r="P163" s="13"/>
      <c r="Q163" s="14" t="str">
        <f aca="false">IF(B163="","",MONTH(B163))</f>
        <v/>
      </c>
      <c r="R163" s="20" t="str">
        <f aca="false">IF(OR(J163="",J163=0),"",MIN(1,K163/J163))</f>
        <v/>
      </c>
      <c r="S163" s="21" t="str">
        <f aca="true">IF(H163="","",IF(I163="",MAX(0,TODAY()-H163),MAX(0,I163-H163)))</f>
        <v/>
      </c>
      <c r="T163" s="14" t="str">
        <f aca="false">IF(OR(H163="",I163=""),"",IF(I163&lt;=H163,"S","N"))</f>
        <v/>
      </c>
      <c r="U163" s="14" t="str">
        <f aca="false">IF(A163="","",IF(AND(N163="S",O163="S",P163="S"),"S","N"))</f>
        <v/>
      </c>
      <c r="V163" s="13"/>
      <c r="W163" s="18"/>
      <c r="X163" s="19" t="str">
        <f aca="false">IF(W163="","",W163-G163)</f>
        <v/>
      </c>
      <c r="Y163" s="14" t="str">
        <f aca="true">IF(A163="","",IF(K163=0,IF(AND(H163&lt;&gt;"",TODAY()&gt;H163),"Vencida","Pendiente"),IF(K163&lt;J163,"Parcial","Completa")))</f>
        <v/>
      </c>
      <c r="Z163" s="16"/>
      <c r="AA163" s="13"/>
      <c r="AB163" s="14" t="str">
        <f aca="false">IF(W163="","Sin factura",IF(ABS(X163)&lt;=0.01,"OK","Revisar"))</f>
        <v>Sin factura</v>
      </c>
      <c r="AC163" s="13"/>
      <c r="AD163" s="14" t="str">
        <f aca="false">IF(A163="","",IF(L163="N","Producto no conforme",IF(M163="N","Falta registro sanitario",IF(OR(Y163="Parcial",Y163="Vencida"),IF(Z163="","Reprogramar recepción","Reprogramada "&amp;TEXT(Z163,"dd/mm")),IF(Y163="Pendiente","En espera",IF(U163="N","Completar documentos",IF(AB163="Revisar","Revisar importe facturado",IF(AC163&lt;&gt;"S","Registrar en Kontrollers","OK"))))))))</f>
        <v/>
      </c>
      <c r="AE163" s="13"/>
    </row>
    <row r="164" customFormat="false" ht="15" hidden="false" customHeight="false" outlineLevel="0" collapsed="false">
      <c r="A164" s="13"/>
      <c r="B164" s="16"/>
      <c r="C164" s="13"/>
      <c r="D164" s="13"/>
      <c r="E164" s="13"/>
      <c r="F164" s="13"/>
      <c r="G164" s="18"/>
      <c r="H164" s="16"/>
      <c r="I164" s="16"/>
      <c r="J164" s="17"/>
      <c r="K164" s="17"/>
      <c r="L164" s="13"/>
      <c r="M164" s="13"/>
      <c r="N164" s="13"/>
      <c r="O164" s="13"/>
      <c r="P164" s="13"/>
      <c r="Q164" s="14" t="str">
        <f aca="false">IF(B164="","",MONTH(B164))</f>
        <v/>
      </c>
      <c r="R164" s="20" t="str">
        <f aca="false">IF(OR(J164="",J164=0),"",MIN(1,K164/J164))</f>
        <v/>
      </c>
      <c r="S164" s="21" t="str">
        <f aca="true">IF(H164="","",IF(I164="",MAX(0,TODAY()-H164),MAX(0,I164-H164)))</f>
        <v/>
      </c>
      <c r="T164" s="14" t="str">
        <f aca="false">IF(OR(H164="",I164=""),"",IF(I164&lt;=H164,"S","N"))</f>
        <v/>
      </c>
      <c r="U164" s="14" t="str">
        <f aca="false">IF(A164="","",IF(AND(N164="S",O164="S",P164="S"),"S","N"))</f>
        <v/>
      </c>
      <c r="V164" s="13"/>
      <c r="W164" s="18"/>
      <c r="X164" s="19" t="str">
        <f aca="false">IF(W164="","",W164-G164)</f>
        <v/>
      </c>
      <c r="Y164" s="14" t="str">
        <f aca="true">IF(A164="","",IF(K164=0,IF(AND(H164&lt;&gt;"",TODAY()&gt;H164),"Vencida","Pendiente"),IF(K164&lt;J164,"Parcial","Completa")))</f>
        <v/>
      </c>
      <c r="Z164" s="16"/>
      <c r="AA164" s="13"/>
      <c r="AB164" s="14" t="str">
        <f aca="false">IF(W164="","Sin factura",IF(ABS(X164)&lt;=0.01,"OK","Revisar"))</f>
        <v>Sin factura</v>
      </c>
      <c r="AC164" s="13"/>
      <c r="AD164" s="14" t="str">
        <f aca="false">IF(A164="","",IF(L164="N","Producto no conforme",IF(M164="N","Falta registro sanitario",IF(OR(Y164="Parcial",Y164="Vencida"),IF(Z164="","Reprogramar recepción","Reprogramada "&amp;TEXT(Z164,"dd/mm")),IF(Y164="Pendiente","En espera",IF(U164="N","Completar documentos",IF(AB164="Revisar","Revisar importe facturado",IF(AC164&lt;&gt;"S","Registrar en Kontrollers","OK"))))))))</f>
        <v/>
      </c>
      <c r="AE164" s="13"/>
    </row>
    <row r="165" customFormat="false" ht="15" hidden="false" customHeight="false" outlineLevel="0" collapsed="false">
      <c r="A165" s="13"/>
      <c r="B165" s="16"/>
      <c r="C165" s="13"/>
      <c r="D165" s="13"/>
      <c r="E165" s="13"/>
      <c r="F165" s="13"/>
      <c r="G165" s="18"/>
      <c r="H165" s="16"/>
      <c r="I165" s="16"/>
      <c r="J165" s="17"/>
      <c r="K165" s="17"/>
      <c r="L165" s="13"/>
      <c r="M165" s="13"/>
      <c r="N165" s="13"/>
      <c r="O165" s="13"/>
      <c r="P165" s="13"/>
      <c r="Q165" s="14" t="str">
        <f aca="false">IF(B165="","",MONTH(B165))</f>
        <v/>
      </c>
      <c r="R165" s="20" t="str">
        <f aca="false">IF(OR(J165="",J165=0),"",MIN(1,K165/J165))</f>
        <v/>
      </c>
      <c r="S165" s="21" t="str">
        <f aca="true">IF(H165="","",IF(I165="",MAX(0,TODAY()-H165),MAX(0,I165-H165)))</f>
        <v/>
      </c>
      <c r="T165" s="14" t="str">
        <f aca="false">IF(OR(H165="",I165=""),"",IF(I165&lt;=H165,"S","N"))</f>
        <v/>
      </c>
      <c r="U165" s="14" t="str">
        <f aca="false">IF(A165="","",IF(AND(N165="S",O165="S",P165="S"),"S","N"))</f>
        <v/>
      </c>
      <c r="V165" s="13"/>
      <c r="W165" s="18"/>
      <c r="X165" s="19" t="str">
        <f aca="false">IF(W165="","",W165-G165)</f>
        <v/>
      </c>
      <c r="Y165" s="14" t="str">
        <f aca="true">IF(A165="","",IF(K165=0,IF(AND(H165&lt;&gt;"",TODAY()&gt;H165),"Vencida","Pendiente"),IF(K165&lt;J165,"Parcial","Completa")))</f>
        <v/>
      </c>
      <c r="Z165" s="16"/>
      <c r="AA165" s="13"/>
      <c r="AB165" s="14" t="str">
        <f aca="false">IF(W165="","Sin factura",IF(ABS(X165)&lt;=0.01,"OK","Revisar"))</f>
        <v>Sin factura</v>
      </c>
      <c r="AC165" s="13"/>
      <c r="AD165" s="14" t="str">
        <f aca="false">IF(A165="","",IF(L165="N","Producto no conforme",IF(M165="N","Falta registro sanitario",IF(OR(Y165="Parcial",Y165="Vencida"),IF(Z165="","Reprogramar recepción","Reprogramada "&amp;TEXT(Z165,"dd/mm")),IF(Y165="Pendiente","En espera",IF(U165="N","Completar documentos",IF(AB165="Revisar","Revisar importe facturado",IF(AC165&lt;&gt;"S","Registrar en Kontrollers","OK"))))))))</f>
        <v/>
      </c>
      <c r="AE165" s="13"/>
    </row>
    <row r="166" customFormat="false" ht="15" hidden="false" customHeight="false" outlineLevel="0" collapsed="false">
      <c r="A166" s="13"/>
      <c r="B166" s="16"/>
      <c r="C166" s="13"/>
      <c r="D166" s="13"/>
      <c r="E166" s="13"/>
      <c r="F166" s="13"/>
      <c r="G166" s="18"/>
      <c r="H166" s="16"/>
      <c r="I166" s="16"/>
      <c r="J166" s="17"/>
      <c r="K166" s="17"/>
      <c r="L166" s="13"/>
      <c r="M166" s="13"/>
      <c r="N166" s="13"/>
      <c r="O166" s="13"/>
      <c r="P166" s="13"/>
      <c r="Q166" s="14" t="str">
        <f aca="false">IF(B166="","",MONTH(B166))</f>
        <v/>
      </c>
      <c r="R166" s="20" t="str">
        <f aca="false">IF(OR(J166="",J166=0),"",MIN(1,K166/J166))</f>
        <v/>
      </c>
      <c r="S166" s="21" t="str">
        <f aca="true">IF(H166="","",IF(I166="",MAX(0,TODAY()-H166),MAX(0,I166-H166)))</f>
        <v/>
      </c>
      <c r="T166" s="14" t="str">
        <f aca="false">IF(OR(H166="",I166=""),"",IF(I166&lt;=H166,"S","N"))</f>
        <v/>
      </c>
      <c r="U166" s="14" t="str">
        <f aca="false">IF(A166="","",IF(AND(N166="S",O166="S",P166="S"),"S","N"))</f>
        <v/>
      </c>
      <c r="V166" s="13"/>
      <c r="W166" s="18"/>
      <c r="X166" s="19" t="str">
        <f aca="false">IF(W166="","",W166-G166)</f>
        <v/>
      </c>
      <c r="Y166" s="14" t="str">
        <f aca="true">IF(A166="","",IF(K166=0,IF(AND(H166&lt;&gt;"",TODAY()&gt;H166),"Vencida","Pendiente"),IF(K166&lt;J166,"Parcial","Completa")))</f>
        <v/>
      </c>
      <c r="Z166" s="16"/>
      <c r="AA166" s="13"/>
      <c r="AB166" s="14" t="str">
        <f aca="false">IF(W166="","Sin factura",IF(ABS(X166)&lt;=0.01,"OK","Revisar"))</f>
        <v>Sin factura</v>
      </c>
      <c r="AC166" s="13"/>
      <c r="AD166" s="14" t="str">
        <f aca="false">IF(A166="","",IF(L166="N","Producto no conforme",IF(M166="N","Falta registro sanitario",IF(OR(Y166="Parcial",Y166="Vencida"),IF(Z166="","Reprogramar recepción","Reprogramada "&amp;TEXT(Z166,"dd/mm")),IF(Y166="Pendiente","En espera",IF(U166="N","Completar documentos",IF(AB166="Revisar","Revisar importe facturado",IF(AC166&lt;&gt;"S","Registrar en Kontrollers","OK"))))))))</f>
        <v/>
      </c>
      <c r="AE166" s="13"/>
    </row>
    <row r="167" customFormat="false" ht="15" hidden="false" customHeight="false" outlineLevel="0" collapsed="false">
      <c r="A167" s="13"/>
      <c r="B167" s="16"/>
      <c r="C167" s="13"/>
      <c r="D167" s="13"/>
      <c r="E167" s="13"/>
      <c r="F167" s="13"/>
      <c r="G167" s="18"/>
      <c r="H167" s="16"/>
      <c r="I167" s="16"/>
      <c r="J167" s="17"/>
      <c r="K167" s="17"/>
      <c r="L167" s="13"/>
      <c r="M167" s="13"/>
      <c r="N167" s="13"/>
      <c r="O167" s="13"/>
      <c r="P167" s="13"/>
      <c r="Q167" s="14" t="str">
        <f aca="false">IF(B167="","",MONTH(B167))</f>
        <v/>
      </c>
      <c r="R167" s="20" t="str">
        <f aca="false">IF(OR(J167="",J167=0),"",MIN(1,K167/J167))</f>
        <v/>
      </c>
      <c r="S167" s="21" t="str">
        <f aca="true">IF(H167="","",IF(I167="",MAX(0,TODAY()-H167),MAX(0,I167-H167)))</f>
        <v/>
      </c>
      <c r="T167" s="14" t="str">
        <f aca="false">IF(OR(H167="",I167=""),"",IF(I167&lt;=H167,"S","N"))</f>
        <v/>
      </c>
      <c r="U167" s="14" t="str">
        <f aca="false">IF(A167="","",IF(AND(N167="S",O167="S",P167="S"),"S","N"))</f>
        <v/>
      </c>
      <c r="V167" s="13"/>
      <c r="W167" s="18"/>
      <c r="X167" s="19" t="str">
        <f aca="false">IF(W167="","",W167-G167)</f>
        <v/>
      </c>
      <c r="Y167" s="14" t="str">
        <f aca="true">IF(A167="","",IF(K167=0,IF(AND(H167&lt;&gt;"",TODAY()&gt;H167),"Vencida","Pendiente"),IF(K167&lt;J167,"Parcial","Completa")))</f>
        <v/>
      </c>
      <c r="Z167" s="16"/>
      <c r="AA167" s="13"/>
      <c r="AB167" s="14" t="str">
        <f aca="false">IF(W167="","Sin factura",IF(ABS(X167)&lt;=0.01,"OK","Revisar"))</f>
        <v>Sin factura</v>
      </c>
      <c r="AC167" s="13"/>
      <c r="AD167" s="14" t="str">
        <f aca="false">IF(A167="","",IF(L167="N","Producto no conforme",IF(M167="N","Falta registro sanitario",IF(OR(Y167="Parcial",Y167="Vencida"),IF(Z167="","Reprogramar recepción","Reprogramada "&amp;TEXT(Z167,"dd/mm")),IF(Y167="Pendiente","En espera",IF(U167="N","Completar documentos",IF(AB167="Revisar","Revisar importe facturado",IF(AC167&lt;&gt;"S","Registrar en Kontrollers","OK"))))))))</f>
        <v/>
      </c>
      <c r="AE167" s="13"/>
    </row>
    <row r="168" customFormat="false" ht="15" hidden="false" customHeight="false" outlineLevel="0" collapsed="false">
      <c r="A168" s="13"/>
      <c r="B168" s="16"/>
      <c r="C168" s="13"/>
      <c r="D168" s="13"/>
      <c r="E168" s="13"/>
      <c r="F168" s="13"/>
      <c r="G168" s="18"/>
      <c r="H168" s="16"/>
      <c r="I168" s="16"/>
      <c r="J168" s="17"/>
      <c r="K168" s="17"/>
      <c r="L168" s="13"/>
      <c r="M168" s="13"/>
      <c r="N168" s="13"/>
      <c r="O168" s="13"/>
      <c r="P168" s="13"/>
      <c r="Q168" s="14" t="str">
        <f aca="false">IF(B168="","",MONTH(B168))</f>
        <v/>
      </c>
      <c r="R168" s="20" t="str">
        <f aca="false">IF(OR(J168="",J168=0),"",MIN(1,K168/J168))</f>
        <v/>
      </c>
      <c r="S168" s="21" t="str">
        <f aca="true">IF(H168="","",IF(I168="",MAX(0,TODAY()-H168),MAX(0,I168-H168)))</f>
        <v/>
      </c>
      <c r="T168" s="14" t="str">
        <f aca="false">IF(OR(H168="",I168=""),"",IF(I168&lt;=H168,"S","N"))</f>
        <v/>
      </c>
      <c r="U168" s="14" t="str">
        <f aca="false">IF(A168="","",IF(AND(N168="S",O168="S",P168="S"),"S","N"))</f>
        <v/>
      </c>
      <c r="V168" s="13"/>
      <c r="W168" s="18"/>
      <c r="X168" s="19" t="str">
        <f aca="false">IF(W168="","",W168-G168)</f>
        <v/>
      </c>
      <c r="Y168" s="14" t="str">
        <f aca="true">IF(A168="","",IF(K168=0,IF(AND(H168&lt;&gt;"",TODAY()&gt;H168),"Vencida","Pendiente"),IF(K168&lt;J168,"Parcial","Completa")))</f>
        <v/>
      </c>
      <c r="Z168" s="16"/>
      <c r="AA168" s="13"/>
      <c r="AB168" s="14" t="str">
        <f aca="false">IF(W168="","Sin factura",IF(ABS(X168)&lt;=0.01,"OK","Revisar"))</f>
        <v>Sin factura</v>
      </c>
      <c r="AC168" s="13"/>
      <c r="AD168" s="14" t="str">
        <f aca="false">IF(A168="","",IF(L168="N","Producto no conforme",IF(M168="N","Falta registro sanitario",IF(OR(Y168="Parcial",Y168="Vencida"),IF(Z168="","Reprogramar recepción","Reprogramada "&amp;TEXT(Z168,"dd/mm")),IF(Y168="Pendiente","En espera",IF(U168="N","Completar documentos",IF(AB168="Revisar","Revisar importe facturado",IF(AC168&lt;&gt;"S","Registrar en Kontrollers","OK"))))))))</f>
        <v/>
      </c>
      <c r="AE168" s="13"/>
    </row>
    <row r="169" customFormat="false" ht="15" hidden="false" customHeight="false" outlineLevel="0" collapsed="false">
      <c r="A169" s="13"/>
      <c r="B169" s="16"/>
      <c r="C169" s="13"/>
      <c r="D169" s="13"/>
      <c r="E169" s="13"/>
      <c r="F169" s="13"/>
      <c r="G169" s="18"/>
      <c r="H169" s="16"/>
      <c r="I169" s="16"/>
      <c r="J169" s="17"/>
      <c r="K169" s="17"/>
      <c r="L169" s="13"/>
      <c r="M169" s="13"/>
      <c r="N169" s="13"/>
      <c r="O169" s="13"/>
      <c r="P169" s="13"/>
      <c r="Q169" s="14" t="str">
        <f aca="false">IF(B169="","",MONTH(B169))</f>
        <v/>
      </c>
      <c r="R169" s="20" t="str">
        <f aca="false">IF(OR(J169="",J169=0),"",MIN(1,K169/J169))</f>
        <v/>
      </c>
      <c r="S169" s="21" t="str">
        <f aca="true">IF(H169="","",IF(I169="",MAX(0,TODAY()-H169),MAX(0,I169-H169)))</f>
        <v/>
      </c>
      <c r="T169" s="14" t="str">
        <f aca="false">IF(OR(H169="",I169=""),"",IF(I169&lt;=H169,"S","N"))</f>
        <v/>
      </c>
      <c r="U169" s="14" t="str">
        <f aca="false">IF(A169="","",IF(AND(N169="S",O169="S",P169="S"),"S","N"))</f>
        <v/>
      </c>
      <c r="V169" s="13"/>
      <c r="W169" s="18"/>
      <c r="X169" s="19" t="str">
        <f aca="false">IF(W169="","",W169-G169)</f>
        <v/>
      </c>
      <c r="Y169" s="14" t="str">
        <f aca="true">IF(A169="","",IF(K169=0,IF(AND(H169&lt;&gt;"",TODAY()&gt;H169),"Vencida","Pendiente"),IF(K169&lt;J169,"Parcial","Completa")))</f>
        <v/>
      </c>
      <c r="Z169" s="16"/>
      <c r="AA169" s="13"/>
      <c r="AB169" s="14" t="str">
        <f aca="false">IF(W169="","Sin factura",IF(ABS(X169)&lt;=0.01,"OK","Revisar"))</f>
        <v>Sin factura</v>
      </c>
      <c r="AC169" s="13"/>
      <c r="AD169" s="14" t="str">
        <f aca="false">IF(A169="","",IF(L169="N","Producto no conforme",IF(M169="N","Falta registro sanitario",IF(OR(Y169="Parcial",Y169="Vencida"),IF(Z169="","Reprogramar recepción","Reprogramada "&amp;TEXT(Z169,"dd/mm")),IF(Y169="Pendiente","En espera",IF(U169="N","Completar documentos",IF(AB169="Revisar","Revisar importe facturado",IF(AC169&lt;&gt;"S","Registrar en Kontrollers","OK"))))))))</f>
        <v/>
      </c>
      <c r="AE169" s="13"/>
    </row>
    <row r="170" customFormat="false" ht="15" hidden="false" customHeight="false" outlineLevel="0" collapsed="false">
      <c r="A170" s="13"/>
      <c r="B170" s="16"/>
      <c r="C170" s="13"/>
      <c r="D170" s="13"/>
      <c r="E170" s="13"/>
      <c r="F170" s="13"/>
      <c r="G170" s="18"/>
      <c r="H170" s="16"/>
      <c r="I170" s="16"/>
      <c r="J170" s="17"/>
      <c r="K170" s="17"/>
      <c r="L170" s="13"/>
      <c r="M170" s="13"/>
      <c r="N170" s="13"/>
      <c r="O170" s="13"/>
      <c r="P170" s="13"/>
      <c r="Q170" s="14" t="str">
        <f aca="false">IF(B170="","",MONTH(B170))</f>
        <v/>
      </c>
      <c r="R170" s="20" t="str">
        <f aca="false">IF(OR(J170="",J170=0),"",MIN(1,K170/J170))</f>
        <v/>
      </c>
      <c r="S170" s="21" t="str">
        <f aca="true">IF(H170="","",IF(I170="",MAX(0,TODAY()-H170),MAX(0,I170-H170)))</f>
        <v/>
      </c>
      <c r="T170" s="14" t="str">
        <f aca="false">IF(OR(H170="",I170=""),"",IF(I170&lt;=H170,"S","N"))</f>
        <v/>
      </c>
      <c r="U170" s="14" t="str">
        <f aca="false">IF(A170="","",IF(AND(N170="S",O170="S",P170="S"),"S","N"))</f>
        <v/>
      </c>
      <c r="V170" s="13"/>
      <c r="W170" s="18"/>
      <c r="X170" s="19" t="str">
        <f aca="false">IF(W170="","",W170-G170)</f>
        <v/>
      </c>
      <c r="Y170" s="14" t="str">
        <f aca="true">IF(A170="","",IF(K170=0,IF(AND(H170&lt;&gt;"",TODAY()&gt;H170),"Vencida","Pendiente"),IF(K170&lt;J170,"Parcial","Completa")))</f>
        <v/>
      </c>
      <c r="Z170" s="16"/>
      <c r="AA170" s="13"/>
      <c r="AB170" s="14" t="str">
        <f aca="false">IF(W170="","Sin factura",IF(ABS(X170)&lt;=0.01,"OK","Revisar"))</f>
        <v>Sin factura</v>
      </c>
      <c r="AC170" s="13"/>
      <c r="AD170" s="14" t="str">
        <f aca="false">IF(A170="","",IF(L170="N","Producto no conforme",IF(M170="N","Falta registro sanitario",IF(OR(Y170="Parcial",Y170="Vencida"),IF(Z170="","Reprogramar recepción","Reprogramada "&amp;TEXT(Z170,"dd/mm")),IF(Y170="Pendiente","En espera",IF(U170="N","Completar documentos",IF(AB170="Revisar","Revisar importe facturado",IF(AC170&lt;&gt;"S","Registrar en Kontrollers","OK"))))))))</f>
        <v/>
      </c>
      <c r="AE170" s="13"/>
    </row>
    <row r="171" customFormat="false" ht="15" hidden="false" customHeight="false" outlineLevel="0" collapsed="false">
      <c r="A171" s="13"/>
      <c r="B171" s="16"/>
      <c r="C171" s="13"/>
      <c r="D171" s="13"/>
      <c r="E171" s="13"/>
      <c r="F171" s="13"/>
      <c r="G171" s="18"/>
      <c r="H171" s="16"/>
      <c r="I171" s="16"/>
      <c r="J171" s="17"/>
      <c r="K171" s="17"/>
      <c r="L171" s="13"/>
      <c r="M171" s="13"/>
      <c r="N171" s="13"/>
      <c r="O171" s="13"/>
      <c r="P171" s="13"/>
      <c r="Q171" s="14" t="str">
        <f aca="false">IF(B171="","",MONTH(B171))</f>
        <v/>
      </c>
      <c r="R171" s="20" t="str">
        <f aca="false">IF(OR(J171="",J171=0),"",MIN(1,K171/J171))</f>
        <v/>
      </c>
      <c r="S171" s="21" t="str">
        <f aca="true">IF(H171="","",IF(I171="",MAX(0,TODAY()-H171),MAX(0,I171-H171)))</f>
        <v/>
      </c>
      <c r="T171" s="14" t="str">
        <f aca="false">IF(OR(H171="",I171=""),"",IF(I171&lt;=H171,"S","N"))</f>
        <v/>
      </c>
      <c r="U171" s="14" t="str">
        <f aca="false">IF(A171="","",IF(AND(N171="S",O171="S",P171="S"),"S","N"))</f>
        <v/>
      </c>
      <c r="V171" s="13"/>
      <c r="W171" s="18"/>
      <c r="X171" s="19" t="str">
        <f aca="false">IF(W171="","",W171-G171)</f>
        <v/>
      </c>
      <c r="Y171" s="14" t="str">
        <f aca="true">IF(A171="","",IF(K171=0,IF(AND(H171&lt;&gt;"",TODAY()&gt;H171),"Vencida","Pendiente"),IF(K171&lt;J171,"Parcial","Completa")))</f>
        <v/>
      </c>
      <c r="Z171" s="16"/>
      <c r="AA171" s="13"/>
      <c r="AB171" s="14" t="str">
        <f aca="false">IF(W171="","Sin factura",IF(ABS(X171)&lt;=0.01,"OK","Revisar"))</f>
        <v>Sin factura</v>
      </c>
      <c r="AC171" s="13"/>
      <c r="AD171" s="14" t="str">
        <f aca="false">IF(A171="","",IF(L171="N","Producto no conforme",IF(M171="N","Falta registro sanitario",IF(OR(Y171="Parcial",Y171="Vencida"),IF(Z171="","Reprogramar recepción","Reprogramada "&amp;TEXT(Z171,"dd/mm")),IF(Y171="Pendiente","En espera",IF(U171="N","Completar documentos",IF(AB171="Revisar","Revisar importe facturado",IF(AC171&lt;&gt;"S","Registrar en Kontrollers","OK"))))))))</f>
        <v/>
      </c>
      <c r="AE171" s="13"/>
    </row>
    <row r="172" customFormat="false" ht="15" hidden="false" customHeight="false" outlineLevel="0" collapsed="false">
      <c r="A172" s="13"/>
      <c r="B172" s="16"/>
      <c r="C172" s="13"/>
      <c r="D172" s="13"/>
      <c r="E172" s="13"/>
      <c r="F172" s="13"/>
      <c r="G172" s="18"/>
      <c r="H172" s="16"/>
      <c r="I172" s="16"/>
      <c r="J172" s="17"/>
      <c r="K172" s="17"/>
      <c r="L172" s="13"/>
      <c r="M172" s="13"/>
      <c r="N172" s="13"/>
      <c r="O172" s="13"/>
      <c r="P172" s="13"/>
      <c r="Q172" s="14" t="str">
        <f aca="false">IF(B172="","",MONTH(B172))</f>
        <v/>
      </c>
      <c r="R172" s="20" t="str">
        <f aca="false">IF(OR(J172="",J172=0),"",MIN(1,K172/J172))</f>
        <v/>
      </c>
      <c r="S172" s="21" t="str">
        <f aca="true">IF(H172="","",IF(I172="",MAX(0,TODAY()-H172),MAX(0,I172-H172)))</f>
        <v/>
      </c>
      <c r="T172" s="14" t="str">
        <f aca="false">IF(OR(H172="",I172=""),"",IF(I172&lt;=H172,"S","N"))</f>
        <v/>
      </c>
      <c r="U172" s="14" t="str">
        <f aca="false">IF(A172="","",IF(AND(N172="S",O172="S",P172="S"),"S","N"))</f>
        <v/>
      </c>
      <c r="V172" s="13"/>
      <c r="W172" s="18"/>
      <c r="X172" s="19" t="str">
        <f aca="false">IF(W172="","",W172-G172)</f>
        <v/>
      </c>
      <c r="Y172" s="14" t="str">
        <f aca="true">IF(A172="","",IF(K172=0,IF(AND(H172&lt;&gt;"",TODAY()&gt;H172),"Vencida","Pendiente"),IF(K172&lt;J172,"Parcial","Completa")))</f>
        <v/>
      </c>
      <c r="Z172" s="16"/>
      <c r="AA172" s="13"/>
      <c r="AB172" s="14" t="str">
        <f aca="false">IF(W172="","Sin factura",IF(ABS(X172)&lt;=0.01,"OK","Revisar"))</f>
        <v>Sin factura</v>
      </c>
      <c r="AC172" s="13"/>
      <c r="AD172" s="14" t="str">
        <f aca="false">IF(A172="","",IF(L172="N","Producto no conforme",IF(M172="N","Falta registro sanitario",IF(OR(Y172="Parcial",Y172="Vencida"),IF(Z172="","Reprogramar recepción","Reprogramada "&amp;TEXT(Z172,"dd/mm")),IF(Y172="Pendiente","En espera",IF(U172="N","Completar documentos",IF(AB172="Revisar","Revisar importe facturado",IF(AC172&lt;&gt;"S","Registrar en Kontrollers","OK"))))))))</f>
        <v/>
      </c>
      <c r="AE172" s="13"/>
    </row>
    <row r="173" customFormat="false" ht="15" hidden="false" customHeight="false" outlineLevel="0" collapsed="false">
      <c r="A173" s="13"/>
      <c r="B173" s="16"/>
      <c r="C173" s="13"/>
      <c r="D173" s="13"/>
      <c r="E173" s="13"/>
      <c r="F173" s="13"/>
      <c r="G173" s="18"/>
      <c r="H173" s="16"/>
      <c r="I173" s="16"/>
      <c r="J173" s="17"/>
      <c r="K173" s="17"/>
      <c r="L173" s="13"/>
      <c r="M173" s="13"/>
      <c r="N173" s="13"/>
      <c r="O173" s="13"/>
      <c r="P173" s="13"/>
      <c r="Q173" s="14" t="str">
        <f aca="false">IF(B173="","",MONTH(B173))</f>
        <v/>
      </c>
      <c r="R173" s="20" t="str">
        <f aca="false">IF(OR(J173="",J173=0),"",MIN(1,K173/J173))</f>
        <v/>
      </c>
      <c r="S173" s="21" t="str">
        <f aca="true">IF(H173="","",IF(I173="",MAX(0,TODAY()-H173),MAX(0,I173-H173)))</f>
        <v/>
      </c>
      <c r="T173" s="14" t="str">
        <f aca="false">IF(OR(H173="",I173=""),"",IF(I173&lt;=H173,"S","N"))</f>
        <v/>
      </c>
      <c r="U173" s="14" t="str">
        <f aca="false">IF(A173="","",IF(AND(N173="S",O173="S",P173="S"),"S","N"))</f>
        <v/>
      </c>
      <c r="V173" s="13"/>
      <c r="W173" s="18"/>
      <c r="X173" s="19" t="str">
        <f aca="false">IF(W173="","",W173-G173)</f>
        <v/>
      </c>
      <c r="Y173" s="14" t="str">
        <f aca="true">IF(A173="","",IF(K173=0,IF(AND(H173&lt;&gt;"",TODAY()&gt;H173),"Vencida","Pendiente"),IF(K173&lt;J173,"Parcial","Completa")))</f>
        <v/>
      </c>
      <c r="Z173" s="16"/>
      <c r="AA173" s="13"/>
      <c r="AB173" s="14" t="str">
        <f aca="false">IF(W173="","Sin factura",IF(ABS(X173)&lt;=0.01,"OK","Revisar"))</f>
        <v>Sin factura</v>
      </c>
      <c r="AC173" s="13"/>
      <c r="AD173" s="14" t="str">
        <f aca="false">IF(A173="","",IF(L173="N","Producto no conforme",IF(M173="N","Falta registro sanitario",IF(OR(Y173="Parcial",Y173="Vencida"),IF(Z173="","Reprogramar recepción","Reprogramada "&amp;TEXT(Z173,"dd/mm")),IF(Y173="Pendiente","En espera",IF(U173="N","Completar documentos",IF(AB173="Revisar","Revisar importe facturado",IF(AC173&lt;&gt;"S","Registrar en Kontrollers","OK"))))))))</f>
        <v/>
      </c>
      <c r="AE173" s="13"/>
    </row>
    <row r="174" customFormat="false" ht="15" hidden="false" customHeight="false" outlineLevel="0" collapsed="false">
      <c r="A174" s="13"/>
      <c r="B174" s="16"/>
      <c r="C174" s="13"/>
      <c r="D174" s="13"/>
      <c r="E174" s="13"/>
      <c r="F174" s="13"/>
      <c r="G174" s="18"/>
      <c r="H174" s="16"/>
      <c r="I174" s="16"/>
      <c r="J174" s="17"/>
      <c r="K174" s="17"/>
      <c r="L174" s="13"/>
      <c r="M174" s="13"/>
      <c r="N174" s="13"/>
      <c r="O174" s="13"/>
      <c r="P174" s="13"/>
      <c r="Q174" s="14" t="str">
        <f aca="false">IF(B174="","",MONTH(B174))</f>
        <v/>
      </c>
      <c r="R174" s="20" t="str">
        <f aca="false">IF(OR(J174="",J174=0),"",MIN(1,K174/J174))</f>
        <v/>
      </c>
      <c r="S174" s="21" t="str">
        <f aca="true">IF(H174="","",IF(I174="",MAX(0,TODAY()-H174),MAX(0,I174-H174)))</f>
        <v/>
      </c>
      <c r="T174" s="14" t="str">
        <f aca="false">IF(OR(H174="",I174=""),"",IF(I174&lt;=H174,"S","N"))</f>
        <v/>
      </c>
      <c r="U174" s="14" t="str">
        <f aca="false">IF(A174="","",IF(AND(N174="S",O174="S",P174="S"),"S","N"))</f>
        <v/>
      </c>
      <c r="V174" s="13"/>
      <c r="W174" s="18"/>
      <c r="X174" s="19" t="str">
        <f aca="false">IF(W174="","",W174-G174)</f>
        <v/>
      </c>
      <c r="Y174" s="14" t="str">
        <f aca="true">IF(A174="","",IF(K174=0,IF(AND(H174&lt;&gt;"",TODAY()&gt;H174),"Vencida","Pendiente"),IF(K174&lt;J174,"Parcial","Completa")))</f>
        <v/>
      </c>
      <c r="Z174" s="16"/>
      <c r="AA174" s="13"/>
      <c r="AB174" s="14" t="str">
        <f aca="false">IF(W174="","Sin factura",IF(ABS(X174)&lt;=0.01,"OK","Revisar"))</f>
        <v>Sin factura</v>
      </c>
      <c r="AC174" s="13"/>
      <c r="AD174" s="14" t="str">
        <f aca="false">IF(A174="","",IF(L174="N","Producto no conforme",IF(M174="N","Falta registro sanitario",IF(OR(Y174="Parcial",Y174="Vencida"),IF(Z174="","Reprogramar recepción","Reprogramada "&amp;TEXT(Z174,"dd/mm")),IF(Y174="Pendiente","En espera",IF(U174="N","Completar documentos",IF(AB174="Revisar","Revisar importe facturado",IF(AC174&lt;&gt;"S","Registrar en Kontrollers","OK"))))))))</f>
        <v/>
      </c>
      <c r="AE174" s="13"/>
    </row>
    <row r="175" customFormat="false" ht="15" hidden="false" customHeight="false" outlineLevel="0" collapsed="false">
      <c r="A175" s="13"/>
      <c r="B175" s="16"/>
      <c r="C175" s="13"/>
      <c r="D175" s="13"/>
      <c r="E175" s="13"/>
      <c r="F175" s="13"/>
      <c r="G175" s="18"/>
      <c r="H175" s="16"/>
      <c r="I175" s="16"/>
      <c r="J175" s="17"/>
      <c r="K175" s="17"/>
      <c r="L175" s="13"/>
      <c r="M175" s="13"/>
      <c r="N175" s="13"/>
      <c r="O175" s="13"/>
      <c r="P175" s="13"/>
      <c r="Q175" s="14" t="str">
        <f aca="false">IF(B175="","",MONTH(B175))</f>
        <v/>
      </c>
      <c r="R175" s="20" t="str">
        <f aca="false">IF(OR(J175="",J175=0),"",MIN(1,K175/J175))</f>
        <v/>
      </c>
      <c r="S175" s="21" t="str">
        <f aca="true">IF(H175="","",IF(I175="",MAX(0,TODAY()-H175),MAX(0,I175-H175)))</f>
        <v/>
      </c>
      <c r="T175" s="14" t="str">
        <f aca="false">IF(OR(H175="",I175=""),"",IF(I175&lt;=H175,"S","N"))</f>
        <v/>
      </c>
      <c r="U175" s="14" t="str">
        <f aca="false">IF(A175="","",IF(AND(N175="S",O175="S",P175="S"),"S","N"))</f>
        <v/>
      </c>
      <c r="V175" s="13"/>
      <c r="W175" s="18"/>
      <c r="X175" s="19" t="str">
        <f aca="false">IF(W175="","",W175-G175)</f>
        <v/>
      </c>
      <c r="Y175" s="14" t="str">
        <f aca="true">IF(A175="","",IF(K175=0,IF(AND(H175&lt;&gt;"",TODAY()&gt;H175),"Vencida","Pendiente"),IF(K175&lt;J175,"Parcial","Completa")))</f>
        <v/>
      </c>
      <c r="Z175" s="16"/>
      <c r="AA175" s="13"/>
      <c r="AB175" s="14" t="str">
        <f aca="false">IF(W175="","Sin factura",IF(ABS(X175)&lt;=0.01,"OK","Revisar"))</f>
        <v>Sin factura</v>
      </c>
      <c r="AC175" s="13"/>
      <c r="AD175" s="14" t="str">
        <f aca="false">IF(A175="","",IF(L175="N","Producto no conforme",IF(M175="N","Falta registro sanitario",IF(OR(Y175="Parcial",Y175="Vencida"),IF(Z175="","Reprogramar recepción","Reprogramada "&amp;TEXT(Z175,"dd/mm")),IF(Y175="Pendiente","En espera",IF(U175="N","Completar documentos",IF(AB175="Revisar","Revisar importe facturado",IF(AC175&lt;&gt;"S","Registrar en Kontrollers","OK"))))))))</f>
        <v/>
      </c>
      <c r="AE175" s="13"/>
    </row>
    <row r="176" customFormat="false" ht="15" hidden="false" customHeight="false" outlineLevel="0" collapsed="false">
      <c r="A176" s="13"/>
      <c r="B176" s="16"/>
      <c r="C176" s="13"/>
      <c r="D176" s="13"/>
      <c r="E176" s="13"/>
      <c r="F176" s="13"/>
      <c r="G176" s="18"/>
      <c r="H176" s="16"/>
      <c r="I176" s="16"/>
      <c r="J176" s="17"/>
      <c r="K176" s="17"/>
      <c r="L176" s="13"/>
      <c r="M176" s="13"/>
      <c r="N176" s="13"/>
      <c r="O176" s="13"/>
      <c r="P176" s="13"/>
      <c r="Q176" s="14" t="str">
        <f aca="false">IF(B176="","",MONTH(B176))</f>
        <v/>
      </c>
      <c r="R176" s="20" t="str">
        <f aca="false">IF(OR(J176="",J176=0),"",MIN(1,K176/J176))</f>
        <v/>
      </c>
      <c r="S176" s="21" t="str">
        <f aca="true">IF(H176="","",IF(I176="",MAX(0,TODAY()-H176),MAX(0,I176-H176)))</f>
        <v/>
      </c>
      <c r="T176" s="14" t="str">
        <f aca="false">IF(OR(H176="",I176=""),"",IF(I176&lt;=H176,"S","N"))</f>
        <v/>
      </c>
      <c r="U176" s="14" t="str">
        <f aca="false">IF(A176="","",IF(AND(N176="S",O176="S",P176="S"),"S","N"))</f>
        <v/>
      </c>
      <c r="V176" s="13"/>
      <c r="W176" s="18"/>
      <c r="X176" s="19" t="str">
        <f aca="false">IF(W176="","",W176-G176)</f>
        <v/>
      </c>
      <c r="Y176" s="14" t="str">
        <f aca="true">IF(A176="","",IF(K176=0,IF(AND(H176&lt;&gt;"",TODAY()&gt;H176),"Vencida","Pendiente"),IF(K176&lt;J176,"Parcial","Completa")))</f>
        <v/>
      </c>
      <c r="Z176" s="16"/>
      <c r="AA176" s="13"/>
      <c r="AB176" s="14" t="str">
        <f aca="false">IF(W176="","Sin factura",IF(ABS(X176)&lt;=0.01,"OK","Revisar"))</f>
        <v>Sin factura</v>
      </c>
      <c r="AC176" s="13"/>
      <c r="AD176" s="14" t="str">
        <f aca="false">IF(A176="","",IF(L176="N","Producto no conforme",IF(M176="N","Falta registro sanitario",IF(OR(Y176="Parcial",Y176="Vencida"),IF(Z176="","Reprogramar recepción","Reprogramada "&amp;TEXT(Z176,"dd/mm")),IF(Y176="Pendiente","En espera",IF(U176="N","Completar documentos",IF(AB176="Revisar","Revisar importe facturado",IF(AC176&lt;&gt;"S","Registrar en Kontrollers","OK"))))))))</f>
        <v/>
      </c>
      <c r="AE176" s="13"/>
    </row>
    <row r="177" customFormat="false" ht="15" hidden="false" customHeight="false" outlineLevel="0" collapsed="false">
      <c r="A177" s="13"/>
      <c r="B177" s="16"/>
      <c r="C177" s="13"/>
      <c r="D177" s="13"/>
      <c r="E177" s="13"/>
      <c r="F177" s="13"/>
      <c r="G177" s="18"/>
      <c r="H177" s="16"/>
      <c r="I177" s="16"/>
      <c r="J177" s="17"/>
      <c r="K177" s="17"/>
      <c r="L177" s="13"/>
      <c r="M177" s="13"/>
      <c r="N177" s="13"/>
      <c r="O177" s="13"/>
      <c r="P177" s="13"/>
      <c r="Q177" s="14" t="str">
        <f aca="false">IF(B177="","",MONTH(B177))</f>
        <v/>
      </c>
      <c r="R177" s="20" t="str">
        <f aca="false">IF(OR(J177="",J177=0),"",MIN(1,K177/J177))</f>
        <v/>
      </c>
      <c r="S177" s="21" t="str">
        <f aca="true">IF(H177="","",IF(I177="",MAX(0,TODAY()-H177),MAX(0,I177-H177)))</f>
        <v/>
      </c>
      <c r="T177" s="14" t="str">
        <f aca="false">IF(OR(H177="",I177=""),"",IF(I177&lt;=H177,"S","N"))</f>
        <v/>
      </c>
      <c r="U177" s="14" t="str">
        <f aca="false">IF(A177="","",IF(AND(N177="S",O177="S",P177="S"),"S","N"))</f>
        <v/>
      </c>
      <c r="V177" s="13"/>
      <c r="W177" s="18"/>
      <c r="X177" s="19" t="str">
        <f aca="false">IF(W177="","",W177-G177)</f>
        <v/>
      </c>
      <c r="Y177" s="14" t="str">
        <f aca="true">IF(A177="","",IF(K177=0,IF(AND(H177&lt;&gt;"",TODAY()&gt;H177),"Vencida","Pendiente"),IF(K177&lt;J177,"Parcial","Completa")))</f>
        <v/>
      </c>
      <c r="Z177" s="16"/>
      <c r="AA177" s="13"/>
      <c r="AB177" s="14" t="str">
        <f aca="false">IF(W177="","Sin factura",IF(ABS(X177)&lt;=0.01,"OK","Revisar"))</f>
        <v>Sin factura</v>
      </c>
      <c r="AC177" s="13"/>
      <c r="AD177" s="14" t="str">
        <f aca="false">IF(A177="","",IF(L177="N","Producto no conforme",IF(M177="N","Falta registro sanitario",IF(OR(Y177="Parcial",Y177="Vencida"),IF(Z177="","Reprogramar recepción","Reprogramada "&amp;TEXT(Z177,"dd/mm")),IF(Y177="Pendiente","En espera",IF(U177="N","Completar documentos",IF(AB177="Revisar","Revisar importe facturado",IF(AC177&lt;&gt;"S","Registrar en Kontrollers","OK"))))))))</f>
        <v/>
      </c>
      <c r="AE177" s="13"/>
    </row>
    <row r="178" customFormat="false" ht="15" hidden="false" customHeight="false" outlineLevel="0" collapsed="false">
      <c r="A178" s="13"/>
      <c r="B178" s="16"/>
      <c r="C178" s="13"/>
      <c r="D178" s="13"/>
      <c r="E178" s="13"/>
      <c r="F178" s="13"/>
      <c r="G178" s="18"/>
      <c r="H178" s="16"/>
      <c r="I178" s="16"/>
      <c r="J178" s="17"/>
      <c r="K178" s="17"/>
      <c r="L178" s="13"/>
      <c r="M178" s="13"/>
      <c r="N178" s="13"/>
      <c r="O178" s="13"/>
      <c r="P178" s="13"/>
      <c r="Q178" s="14" t="str">
        <f aca="false">IF(B178="","",MONTH(B178))</f>
        <v/>
      </c>
      <c r="R178" s="20" t="str">
        <f aca="false">IF(OR(J178="",J178=0),"",MIN(1,K178/J178))</f>
        <v/>
      </c>
      <c r="S178" s="21" t="str">
        <f aca="true">IF(H178="","",IF(I178="",MAX(0,TODAY()-H178),MAX(0,I178-H178)))</f>
        <v/>
      </c>
      <c r="T178" s="14" t="str">
        <f aca="false">IF(OR(H178="",I178=""),"",IF(I178&lt;=H178,"S","N"))</f>
        <v/>
      </c>
      <c r="U178" s="14" t="str">
        <f aca="false">IF(A178="","",IF(AND(N178="S",O178="S",P178="S"),"S","N"))</f>
        <v/>
      </c>
      <c r="V178" s="13"/>
      <c r="W178" s="18"/>
      <c r="X178" s="19" t="str">
        <f aca="false">IF(W178="","",W178-G178)</f>
        <v/>
      </c>
      <c r="Y178" s="14" t="str">
        <f aca="true">IF(A178="","",IF(K178=0,IF(AND(H178&lt;&gt;"",TODAY()&gt;H178),"Vencida","Pendiente"),IF(K178&lt;J178,"Parcial","Completa")))</f>
        <v/>
      </c>
      <c r="Z178" s="16"/>
      <c r="AA178" s="13"/>
      <c r="AB178" s="14" t="str">
        <f aca="false">IF(W178="","Sin factura",IF(ABS(X178)&lt;=0.01,"OK","Revisar"))</f>
        <v>Sin factura</v>
      </c>
      <c r="AC178" s="13"/>
      <c r="AD178" s="14" t="str">
        <f aca="false">IF(A178="","",IF(L178="N","Producto no conforme",IF(M178="N","Falta registro sanitario",IF(OR(Y178="Parcial",Y178="Vencida"),IF(Z178="","Reprogramar recepción","Reprogramada "&amp;TEXT(Z178,"dd/mm")),IF(Y178="Pendiente","En espera",IF(U178="N","Completar documentos",IF(AB178="Revisar","Revisar importe facturado",IF(AC178&lt;&gt;"S","Registrar en Kontrollers","OK"))))))))</f>
        <v/>
      </c>
      <c r="AE178" s="13"/>
    </row>
    <row r="179" customFormat="false" ht="15" hidden="false" customHeight="false" outlineLevel="0" collapsed="false">
      <c r="A179" s="13"/>
      <c r="B179" s="16"/>
      <c r="C179" s="13"/>
      <c r="D179" s="13"/>
      <c r="E179" s="13"/>
      <c r="F179" s="13"/>
      <c r="G179" s="18"/>
      <c r="H179" s="16"/>
      <c r="I179" s="16"/>
      <c r="J179" s="17"/>
      <c r="K179" s="17"/>
      <c r="L179" s="13"/>
      <c r="M179" s="13"/>
      <c r="N179" s="13"/>
      <c r="O179" s="13"/>
      <c r="P179" s="13"/>
      <c r="Q179" s="14" t="str">
        <f aca="false">IF(B179="","",MONTH(B179))</f>
        <v/>
      </c>
      <c r="R179" s="20" t="str">
        <f aca="false">IF(OR(J179="",J179=0),"",MIN(1,K179/J179))</f>
        <v/>
      </c>
      <c r="S179" s="21" t="str">
        <f aca="true">IF(H179="","",IF(I179="",MAX(0,TODAY()-H179),MAX(0,I179-H179)))</f>
        <v/>
      </c>
      <c r="T179" s="14" t="str">
        <f aca="false">IF(OR(H179="",I179=""),"",IF(I179&lt;=H179,"S","N"))</f>
        <v/>
      </c>
      <c r="U179" s="14" t="str">
        <f aca="false">IF(A179="","",IF(AND(N179="S",O179="S",P179="S"),"S","N"))</f>
        <v/>
      </c>
      <c r="V179" s="13"/>
      <c r="W179" s="18"/>
      <c r="X179" s="19" t="str">
        <f aca="false">IF(W179="","",W179-G179)</f>
        <v/>
      </c>
      <c r="Y179" s="14" t="str">
        <f aca="true">IF(A179="","",IF(K179=0,IF(AND(H179&lt;&gt;"",TODAY()&gt;H179),"Vencida","Pendiente"),IF(K179&lt;J179,"Parcial","Completa")))</f>
        <v/>
      </c>
      <c r="Z179" s="16"/>
      <c r="AA179" s="13"/>
      <c r="AB179" s="14" t="str">
        <f aca="false">IF(W179="","Sin factura",IF(ABS(X179)&lt;=0.01,"OK","Revisar"))</f>
        <v>Sin factura</v>
      </c>
      <c r="AC179" s="13"/>
      <c r="AD179" s="14" t="str">
        <f aca="false">IF(A179="","",IF(L179="N","Producto no conforme",IF(M179="N","Falta registro sanitario",IF(OR(Y179="Parcial",Y179="Vencida"),IF(Z179="","Reprogramar recepción","Reprogramada "&amp;TEXT(Z179,"dd/mm")),IF(Y179="Pendiente","En espera",IF(U179="N","Completar documentos",IF(AB179="Revisar","Revisar importe facturado",IF(AC179&lt;&gt;"S","Registrar en Kontrollers","OK"))))))))</f>
        <v/>
      </c>
      <c r="AE179" s="13"/>
    </row>
    <row r="180" customFormat="false" ht="15" hidden="false" customHeight="false" outlineLevel="0" collapsed="false">
      <c r="A180" s="13"/>
      <c r="B180" s="16"/>
      <c r="C180" s="13"/>
      <c r="D180" s="13"/>
      <c r="E180" s="13"/>
      <c r="F180" s="13"/>
      <c r="G180" s="18"/>
      <c r="H180" s="16"/>
      <c r="I180" s="16"/>
      <c r="J180" s="17"/>
      <c r="K180" s="17"/>
      <c r="L180" s="13"/>
      <c r="M180" s="13"/>
      <c r="N180" s="13"/>
      <c r="O180" s="13"/>
      <c r="P180" s="13"/>
      <c r="Q180" s="14" t="str">
        <f aca="false">IF(B180="","",MONTH(B180))</f>
        <v/>
      </c>
      <c r="R180" s="20" t="str">
        <f aca="false">IF(OR(J180="",J180=0),"",MIN(1,K180/J180))</f>
        <v/>
      </c>
      <c r="S180" s="21" t="str">
        <f aca="true">IF(H180="","",IF(I180="",MAX(0,TODAY()-H180),MAX(0,I180-H180)))</f>
        <v/>
      </c>
      <c r="T180" s="14" t="str">
        <f aca="false">IF(OR(H180="",I180=""),"",IF(I180&lt;=H180,"S","N"))</f>
        <v/>
      </c>
      <c r="U180" s="14" t="str">
        <f aca="false">IF(A180="","",IF(AND(N180="S",O180="S",P180="S"),"S","N"))</f>
        <v/>
      </c>
      <c r="V180" s="13"/>
      <c r="W180" s="18"/>
      <c r="X180" s="19" t="str">
        <f aca="false">IF(W180="","",W180-G180)</f>
        <v/>
      </c>
      <c r="Y180" s="14" t="str">
        <f aca="true">IF(A180="","",IF(K180=0,IF(AND(H180&lt;&gt;"",TODAY()&gt;H180),"Vencida","Pendiente"),IF(K180&lt;J180,"Parcial","Completa")))</f>
        <v/>
      </c>
      <c r="Z180" s="16"/>
      <c r="AA180" s="13"/>
      <c r="AB180" s="14" t="str">
        <f aca="false">IF(W180="","Sin factura",IF(ABS(X180)&lt;=0.01,"OK","Revisar"))</f>
        <v>Sin factura</v>
      </c>
      <c r="AC180" s="13"/>
      <c r="AD180" s="14" t="str">
        <f aca="false">IF(A180="","",IF(L180="N","Producto no conforme",IF(M180="N","Falta registro sanitario",IF(OR(Y180="Parcial",Y180="Vencida"),IF(Z180="","Reprogramar recepción","Reprogramada "&amp;TEXT(Z180,"dd/mm")),IF(Y180="Pendiente","En espera",IF(U180="N","Completar documentos",IF(AB180="Revisar","Revisar importe facturado",IF(AC180&lt;&gt;"S","Registrar en Kontrollers","OK"))))))))</f>
        <v/>
      </c>
      <c r="AE180" s="13"/>
    </row>
    <row r="181" customFormat="false" ht="15" hidden="false" customHeight="false" outlineLevel="0" collapsed="false">
      <c r="A181" s="13"/>
      <c r="B181" s="16"/>
      <c r="C181" s="13"/>
      <c r="D181" s="13"/>
      <c r="E181" s="13"/>
      <c r="F181" s="13"/>
      <c r="G181" s="18"/>
      <c r="H181" s="16"/>
      <c r="I181" s="16"/>
      <c r="J181" s="17"/>
      <c r="K181" s="17"/>
      <c r="L181" s="13"/>
      <c r="M181" s="13"/>
      <c r="N181" s="13"/>
      <c r="O181" s="13"/>
      <c r="P181" s="13"/>
      <c r="Q181" s="14" t="str">
        <f aca="false">IF(B181="","",MONTH(B181))</f>
        <v/>
      </c>
      <c r="R181" s="20" t="str">
        <f aca="false">IF(OR(J181="",J181=0),"",MIN(1,K181/J181))</f>
        <v/>
      </c>
      <c r="S181" s="21" t="str">
        <f aca="true">IF(H181="","",IF(I181="",MAX(0,TODAY()-H181),MAX(0,I181-H181)))</f>
        <v/>
      </c>
      <c r="T181" s="14" t="str">
        <f aca="false">IF(OR(H181="",I181=""),"",IF(I181&lt;=H181,"S","N"))</f>
        <v/>
      </c>
      <c r="U181" s="14" t="str">
        <f aca="false">IF(A181="","",IF(AND(N181="S",O181="S",P181="S"),"S","N"))</f>
        <v/>
      </c>
      <c r="V181" s="13"/>
      <c r="W181" s="18"/>
      <c r="X181" s="19" t="str">
        <f aca="false">IF(W181="","",W181-G181)</f>
        <v/>
      </c>
      <c r="Y181" s="14" t="str">
        <f aca="true">IF(A181="","",IF(K181=0,IF(AND(H181&lt;&gt;"",TODAY()&gt;H181),"Vencida","Pendiente"),IF(K181&lt;J181,"Parcial","Completa")))</f>
        <v/>
      </c>
      <c r="Z181" s="16"/>
      <c r="AA181" s="13"/>
      <c r="AB181" s="14" t="str">
        <f aca="false">IF(W181="","Sin factura",IF(ABS(X181)&lt;=0.01,"OK","Revisar"))</f>
        <v>Sin factura</v>
      </c>
      <c r="AC181" s="13"/>
      <c r="AD181" s="14" t="str">
        <f aca="false">IF(A181="","",IF(L181="N","Producto no conforme",IF(M181="N","Falta registro sanitario",IF(OR(Y181="Parcial",Y181="Vencida"),IF(Z181="","Reprogramar recepción","Reprogramada "&amp;TEXT(Z181,"dd/mm")),IF(Y181="Pendiente","En espera",IF(U181="N","Completar documentos",IF(AB181="Revisar","Revisar importe facturado",IF(AC181&lt;&gt;"S","Registrar en Kontrollers","OK"))))))))</f>
        <v/>
      </c>
      <c r="AE181" s="13"/>
    </row>
    <row r="182" customFormat="false" ht="15" hidden="false" customHeight="false" outlineLevel="0" collapsed="false">
      <c r="A182" s="13"/>
      <c r="B182" s="16"/>
      <c r="C182" s="13"/>
      <c r="D182" s="13"/>
      <c r="E182" s="13"/>
      <c r="F182" s="13"/>
      <c r="G182" s="18"/>
      <c r="H182" s="16"/>
      <c r="I182" s="16"/>
      <c r="J182" s="17"/>
      <c r="K182" s="17"/>
      <c r="L182" s="13"/>
      <c r="M182" s="13"/>
      <c r="N182" s="13"/>
      <c r="O182" s="13"/>
      <c r="P182" s="13"/>
      <c r="Q182" s="14" t="str">
        <f aca="false">IF(B182="","",MONTH(B182))</f>
        <v/>
      </c>
      <c r="R182" s="20" t="str">
        <f aca="false">IF(OR(J182="",J182=0),"",MIN(1,K182/J182))</f>
        <v/>
      </c>
      <c r="S182" s="21" t="str">
        <f aca="true">IF(H182="","",IF(I182="",MAX(0,TODAY()-H182),MAX(0,I182-H182)))</f>
        <v/>
      </c>
      <c r="T182" s="14" t="str">
        <f aca="false">IF(OR(H182="",I182=""),"",IF(I182&lt;=H182,"S","N"))</f>
        <v/>
      </c>
      <c r="U182" s="14" t="str">
        <f aca="false">IF(A182="","",IF(AND(N182="S",O182="S",P182="S"),"S","N"))</f>
        <v/>
      </c>
      <c r="V182" s="13"/>
      <c r="W182" s="18"/>
      <c r="X182" s="19" t="str">
        <f aca="false">IF(W182="","",W182-G182)</f>
        <v/>
      </c>
      <c r="Y182" s="14" t="str">
        <f aca="true">IF(A182="","",IF(K182=0,IF(AND(H182&lt;&gt;"",TODAY()&gt;H182),"Vencida","Pendiente"),IF(K182&lt;J182,"Parcial","Completa")))</f>
        <v/>
      </c>
      <c r="Z182" s="16"/>
      <c r="AA182" s="13"/>
      <c r="AB182" s="14" t="str">
        <f aca="false">IF(W182="","Sin factura",IF(ABS(X182)&lt;=0.01,"OK","Revisar"))</f>
        <v>Sin factura</v>
      </c>
      <c r="AC182" s="13"/>
      <c r="AD182" s="14" t="str">
        <f aca="false">IF(A182="","",IF(L182="N","Producto no conforme",IF(M182="N","Falta registro sanitario",IF(OR(Y182="Parcial",Y182="Vencida"),IF(Z182="","Reprogramar recepción","Reprogramada "&amp;TEXT(Z182,"dd/mm")),IF(Y182="Pendiente","En espera",IF(U182="N","Completar documentos",IF(AB182="Revisar","Revisar importe facturado",IF(AC182&lt;&gt;"S","Registrar en Kontrollers","OK"))))))))</f>
        <v/>
      </c>
      <c r="AE182" s="13"/>
    </row>
    <row r="183" customFormat="false" ht="15" hidden="false" customHeight="false" outlineLevel="0" collapsed="false">
      <c r="A183" s="13"/>
      <c r="B183" s="16"/>
      <c r="C183" s="13"/>
      <c r="D183" s="13"/>
      <c r="E183" s="13"/>
      <c r="F183" s="13"/>
      <c r="G183" s="18"/>
      <c r="H183" s="16"/>
      <c r="I183" s="16"/>
      <c r="J183" s="17"/>
      <c r="K183" s="17"/>
      <c r="L183" s="13"/>
      <c r="M183" s="13"/>
      <c r="N183" s="13"/>
      <c r="O183" s="13"/>
      <c r="P183" s="13"/>
      <c r="Q183" s="14" t="str">
        <f aca="false">IF(B183="","",MONTH(B183))</f>
        <v/>
      </c>
      <c r="R183" s="20" t="str">
        <f aca="false">IF(OR(J183="",J183=0),"",MIN(1,K183/J183))</f>
        <v/>
      </c>
      <c r="S183" s="21" t="str">
        <f aca="true">IF(H183="","",IF(I183="",MAX(0,TODAY()-H183),MAX(0,I183-H183)))</f>
        <v/>
      </c>
      <c r="T183" s="14" t="str">
        <f aca="false">IF(OR(H183="",I183=""),"",IF(I183&lt;=H183,"S","N"))</f>
        <v/>
      </c>
      <c r="U183" s="14" t="str">
        <f aca="false">IF(A183="","",IF(AND(N183="S",O183="S",P183="S"),"S","N"))</f>
        <v/>
      </c>
      <c r="V183" s="13"/>
      <c r="W183" s="18"/>
      <c r="X183" s="19" t="str">
        <f aca="false">IF(W183="","",W183-G183)</f>
        <v/>
      </c>
      <c r="Y183" s="14" t="str">
        <f aca="true">IF(A183="","",IF(K183=0,IF(AND(H183&lt;&gt;"",TODAY()&gt;H183),"Vencida","Pendiente"),IF(K183&lt;J183,"Parcial","Completa")))</f>
        <v/>
      </c>
      <c r="Z183" s="16"/>
      <c r="AA183" s="13"/>
      <c r="AB183" s="14" t="str">
        <f aca="false">IF(W183="","Sin factura",IF(ABS(X183)&lt;=0.01,"OK","Revisar"))</f>
        <v>Sin factura</v>
      </c>
      <c r="AC183" s="13"/>
      <c r="AD183" s="14" t="str">
        <f aca="false">IF(A183="","",IF(L183="N","Producto no conforme",IF(M183="N","Falta registro sanitario",IF(OR(Y183="Parcial",Y183="Vencida"),IF(Z183="","Reprogramar recepción","Reprogramada "&amp;TEXT(Z183,"dd/mm")),IF(Y183="Pendiente","En espera",IF(U183="N","Completar documentos",IF(AB183="Revisar","Revisar importe facturado",IF(AC183&lt;&gt;"S","Registrar en Kontrollers","OK"))))))))</f>
        <v/>
      </c>
      <c r="AE183" s="13"/>
    </row>
    <row r="184" customFormat="false" ht="15" hidden="false" customHeight="false" outlineLevel="0" collapsed="false">
      <c r="A184" s="13"/>
      <c r="B184" s="16"/>
      <c r="C184" s="13"/>
      <c r="D184" s="13"/>
      <c r="E184" s="13"/>
      <c r="F184" s="13"/>
      <c r="G184" s="18"/>
      <c r="H184" s="16"/>
      <c r="I184" s="16"/>
      <c r="J184" s="17"/>
      <c r="K184" s="17"/>
      <c r="L184" s="13"/>
      <c r="M184" s="13"/>
      <c r="N184" s="13"/>
      <c r="O184" s="13"/>
      <c r="P184" s="13"/>
      <c r="Q184" s="14" t="str">
        <f aca="false">IF(B184="","",MONTH(B184))</f>
        <v/>
      </c>
      <c r="R184" s="20" t="str">
        <f aca="false">IF(OR(J184="",J184=0),"",MIN(1,K184/J184))</f>
        <v/>
      </c>
      <c r="S184" s="21" t="str">
        <f aca="true">IF(H184="","",IF(I184="",MAX(0,TODAY()-H184),MAX(0,I184-H184)))</f>
        <v/>
      </c>
      <c r="T184" s="14" t="str">
        <f aca="false">IF(OR(H184="",I184=""),"",IF(I184&lt;=H184,"S","N"))</f>
        <v/>
      </c>
      <c r="U184" s="14" t="str">
        <f aca="false">IF(A184="","",IF(AND(N184="S",O184="S",P184="S"),"S","N"))</f>
        <v/>
      </c>
      <c r="V184" s="13"/>
      <c r="W184" s="18"/>
      <c r="X184" s="19" t="str">
        <f aca="false">IF(W184="","",W184-G184)</f>
        <v/>
      </c>
      <c r="Y184" s="14" t="str">
        <f aca="true">IF(A184="","",IF(K184=0,IF(AND(H184&lt;&gt;"",TODAY()&gt;H184),"Vencida","Pendiente"),IF(K184&lt;J184,"Parcial","Completa")))</f>
        <v/>
      </c>
      <c r="Z184" s="16"/>
      <c r="AA184" s="13"/>
      <c r="AB184" s="14" t="str">
        <f aca="false">IF(W184="","Sin factura",IF(ABS(X184)&lt;=0.01,"OK","Revisar"))</f>
        <v>Sin factura</v>
      </c>
      <c r="AC184" s="13"/>
      <c r="AD184" s="14" t="str">
        <f aca="false">IF(A184="","",IF(L184="N","Producto no conforme",IF(M184="N","Falta registro sanitario",IF(OR(Y184="Parcial",Y184="Vencida"),IF(Z184="","Reprogramar recepción","Reprogramada "&amp;TEXT(Z184,"dd/mm")),IF(Y184="Pendiente","En espera",IF(U184="N","Completar documentos",IF(AB184="Revisar","Revisar importe facturado",IF(AC184&lt;&gt;"S","Registrar en Kontrollers","OK"))))))))</f>
        <v/>
      </c>
      <c r="AE184" s="13"/>
    </row>
    <row r="185" customFormat="false" ht="15" hidden="false" customHeight="false" outlineLevel="0" collapsed="false">
      <c r="A185" s="13"/>
      <c r="B185" s="16"/>
      <c r="C185" s="13"/>
      <c r="D185" s="13"/>
      <c r="E185" s="13"/>
      <c r="F185" s="13"/>
      <c r="G185" s="18"/>
      <c r="H185" s="16"/>
      <c r="I185" s="16"/>
      <c r="J185" s="17"/>
      <c r="K185" s="17"/>
      <c r="L185" s="13"/>
      <c r="M185" s="13"/>
      <c r="N185" s="13"/>
      <c r="O185" s="13"/>
      <c r="P185" s="13"/>
      <c r="Q185" s="14" t="str">
        <f aca="false">IF(B185="","",MONTH(B185))</f>
        <v/>
      </c>
      <c r="R185" s="20" t="str">
        <f aca="false">IF(OR(J185="",J185=0),"",MIN(1,K185/J185))</f>
        <v/>
      </c>
      <c r="S185" s="21" t="str">
        <f aca="true">IF(H185="","",IF(I185="",MAX(0,TODAY()-H185),MAX(0,I185-H185)))</f>
        <v/>
      </c>
      <c r="T185" s="14" t="str">
        <f aca="false">IF(OR(H185="",I185=""),"",IF(I185&lt;=H185,"S","N"))</f>
        <v/>
      </c>
      <c r="U185" s="14" t="str">
        <f aca="false">IF(A185="","",IF(AND(N185="S",O185="S",P185="S"),"S","N"))</f>
        <v/>
      </c>
      <c r="V185" s="13"/>
      <c r="W185" s="18"/>
      <c r="X185" s="19" t="str">
        <f aca="false">IF(W185="","",W185-G185)</f>
        <v/>
      </c>
      <c r="Y185" s="14" t="str">
        <f aca="true">IF(A185="","",IF(K185=0,IF(AND(H185&lt;&gt;"",TODAY()&gt;H185),"Vencida","Pendiente"),IF(K185&lt;J185,"Parcial","Completa")))</f>
        <v/>
      </c>
      <c r="Z185" s="16"/>
      <c r="AA185" s="13"/>
      <c r="AB185" s="14" t="str">
        <f aca="false">IF(W185="","Sin factura",IF(ABS(X185)&lt;=0.01,"OK","Revisar"))</f>
        <v>Sin factura</v>
      </c>
      <c r="AC185" s="13"/>
      <c r="AD185" s="14" t="str">
        <f aca="false">IF(A185="","",IF(L185="N","Producto no conforme",IF(M185="N","Falta registro sanitario",IF(OR(Y185="Parcial",Y185="Vencida"),IF(Z185="","Reprogramar recepción","Reprogramada "&amp;TEXT(Z185,"dd/mm")),IF(Y185="Pendiente","En espera",IF(U185="N","Completar documentos",IF(AB185="Revisar","Revisar importe facturado",IF(AC185&lt;&gt;"S","Registrar en Kontrollers","OK"))))))))</f>
        <v/>
      </c>
      <c r="AE185" s="13"/>
    </row>
    <row r="186" customFormat="false" ht="15" hidden="false" customHeight="false" outlineLevel="0" collapsed="false">
      <c r="A186" s="13"/>
      <c r="B186" s="16"/>
      <c r="C186" s="13"/>
      <c r="D186" s="13"/>
      <c r="E186" s="13"/>
      <c r="F186" s="13"/>
      <c r="G186" s="18"/>
      <c r="H186" s="16"/>
      <c r="I186" s="16"/>
      <c r="J186" s="17"/>
      <c r="K186" s="17"/>
      <c r="L186" s="13"/>
      <c r="M186" s="13"/>
      <c r="N186" s="13"/>
      <c r="O186" s="13"/>
      <c r="P186" s="13"/>
      <c r="Q186" s="14" t="str">
        <f aca="false">IF(B186="","",MONTH(B186))</f>
        <v/>
      </c>
      <c r="R186" s="20" t="str">
        <f aca="false">IF(OR(J186="",J186=0),"",MIN(1,K186/J186))</f>
        <v/>
      </c>
      <c r="S186" s="21" t="str">
        <f aca="true">IF(H186="","",IF(I186="",MAX(0,TODAY()-H186),MAX(0,I186-H186)))</f>
        <v/>
      </c>
      <c r="T186" s="14" t="str">
        <f aca="false">IF(OR(H186="",I186=""),"",IF(I186&lt;=H186,"S","N"))</f>
        <v/>
      </c>
      <c r="U186" s="14" t="str">
        <f aca="false">IF(A186="","",IF(AND(N186="S",O186="S",P186="S"),"S","N"))</f>
        <v/>
      </c>
      <c r="V186" s="13"/>
      <c r="W186" s="18"/>
      <c r="X186" s="19" t="str">
        <f aca="false">IF(W186="","",W186-G186)</f>
        <v/>
      </c>
      <c r="Y186" s="14" t="str">
        <f aca="true">IF(A186="","",IF(K186=0,IF(AND(H186&lt;&gt;"",TODAY()&gt;H186),"Vencida","Pendiente"),IF(K186&lt;J186,"Parcial","Completa")))</f>
        <v/>
      </c>
      <c r="Z186" s="16"/>
      <c r="AA186" s="13"/>
      <c r="AB186" s="14" t="str">
        <f aca="false">IF(W186="","Sin factura",IF(ABS(X186)&lt;=0.01,"OK","Revisar"))</f>
        <v>Sin factura</v>
      </c>
      <c r="AC186" s="13"/>
      <c r="AD186" s="14" t="str">
        <f aca="false">IF(A186="","",IF(L186="N","Producto no conforme",IF(M186="N","Falta registro sanitario",IF(OR(Y186="Parcial",Y186="Vencida"),IF(Z186="","Reprogramar recepción","Reprogramada "&amp;TEXT(Z186,"dd/mm")),IF(Y186="Pendiente","En espera",IF(U186="N","Completar documentos",IF(AB186="Revisar","Revisar importe facturado",IF(AC186&lt;&gt;"S","Registrar en Kontrollers","OK"))))))))</f>
        <v/>
      </c>
      <c r="AE186" s="13"/>
    </row>
    <row r="187" customFormat="false" ht="15" hidden="false" customHeight="false" outlineLevel="0" collapsed="false">
      <c r="A187" s="13"/>
      <c r="B187" s="16"/>
      <c r="C187" s="13"/>
      <c r="D187" s="13"/>
      <c r="E187" s="13"/>
      <c r="F187" s="13"/>
      <c r="G187" s="18"/>
      <c r="H187" s="16"/>
      <c r="I187" s="16"/>
      <c r="J187" s="17"/>
      <c r="K187" s="17"/>
      <c r="L187" s="13"/>
      <c r="M187" s="13"/>
      <c r="N187" s="13"/>
      <c r="O187" s="13"/>
      <c r="P187" s="13"/>
      <c r="Q187" s="14" t="str">
        <f aca="false">IF(B187="","",MONTH(B187))</f>
        <v/>
      </c>
      <c r="R187" s="20" t="str">
        <f aca="false">IF(OR(J187="",J187=0),"",MIN(1,K187/J187))</f>
        <v/>
      </c>
      <c r="S187" s="21" t="str">
        <f aca="true">IF(H187="","",IF(I187="",MAX(0,TODAY()-H187),MAX(0,I187-H187)))</f>
        <v/>
      </c>
      <c r="T187" s="14" t="str">
        <f aca="false">IF(OR(H187="",I187=""),"",IF(I187&lt;=H187,"S","N"))</f>
        <v/>
      </c>
      <c r="U187" s="14" t="str">
        <f aca="false">IF(A187="","",IF(AND(N187="S",O187="S",P187="S"),"S","N"))</f>
        <v/>
      </c>
      <c r="V187" s="13"/>
      <c r="W187" s="18"/>
      <c r="X187" s="19" t="str">
        <f aca="false">IF(W187="","",W187-G187)</f>
        <v/>
      </c>
      <c r="Y187" s="14" t="str">
        <f aca="true">IF(A187="","",IF(K187=0,IF(AND(H187&lt;&gt;"",TODAY()&gt;H187),"Vencida","Pendiente"),IF(K187&lt;J187,"Parcial","Completa")))</f>
        <v/>
      </c>
      <c r="Z187" s="16"/>
      <c r="AA187" s="13"/>
      <c r="AB187" s="14" t="str">
        <f aca="false">IF(W187="","Sin factura",IF(ABS(X187)&lt;=0.01,"OK","Revisar"))</f>
        <v>Sin factura</v>
      </c>
      <c r="AC187" s="13"/>
      <c r="AD187" s="14" t="str">
        <f aca="false">IF(A187="","",IF(L187="N","Producto no conforme",IF(M187="N","Falta registro sanitario",IF(OR(Y187="Parcial",Y187="Vencida"),IF(Z187="","Reprogramar recepción","Reprogramada "&amp;TEXT(Z187,"dd/mm")),IF(Y187="Pendiente","En espera",IF(U187="N","Completar documentos",IF(AB187="Revisar","Revisar importe facturado",IF(AC187&lt;&gt;"S","Registrar en Kontrollers","OK"))))))))</f>
        <v/>
      </c>
      <c r="AE187" s="13"/>
    </row>
    <row r="188" customFormat="false" ht="15" hidden="false" customHeight="false" outlineLevel="0" collapsed="false">
      <c r="A188" s="13"/>
      <c r="B188" s="16"/>
      <c r="C188" s="13"/>
      <c r="D188" s="13"/>
      <c r="E188" s="13"/>
      <c r="F188" s="13"/>
      <c r="G188" s="18"/>
      <c r="H188" s="16"/>
      <c r="I188" s="16"/>
      <c r="J188" s="17"/>
      <c r="K188" s="17"/>
      <c r="L188" s="13"/>
      <c r="M188" s="13"/>
      <c r="N188" s="13"/>
      <c r="O188" s="13"/>
      <c r="P188" s="13"/>
      <c r="Q188" s="14" t="str">
        <f aca="false">IF(B188="","",MONTH(B188))</f>
        <v/>
      </c>
      <c r="R188" s="20" t="str">
        <f aca="false">IF(OR(J188="",J188=0),"",MIN(1,K188/J188))</f>
        <v/>
      </c>
      <c r="S188" s="21" t="str">
        <f aca="true">IF(H188="","",IF(I188="",MAX(0,TODAY()-H188),MAX(0,I188-H188)))</f>
        <v/>
      </c>
      <c r="T188" s="14" t="str">
        <f aca="false">IF(OR(H188="",I188=""),"",IF(I188&lt;=H188,"S","N"))</f>
        <v/>
      </c>
      <c r="U188" s="14" t="str">
        <f aca="false">IF(A188="","",IF(AND(N188="S",O188="S",P188="S"),"S","N"))</f>
        <v/>
      </c>
      <c r="V188" s="13"/>
      <c r="W188" s="18"/>
      <c r="X188" s="19" t="str">
        <f aca="false">IF(W188="","",W188-G188)</f>
        <v/>
      </c>
      <c r="Y188" s="14" t="str">
        <f aca="true">IF(A188="","",IF(K188=0,IF(AND(H188&lt;&gt;"",TODAY()&gt;H188),"Vencida","Pendiente"),IF(K188&lt;J188,"Parcial","Completa")))</f>
        <v/>
      </c>
      <c r="Z188" s="16"/>
      <c r="AA188" s="13"/>
      <c r="AB188" s="14" t="str">
        <f aca="false">IF(W188="","Sin factura",IF(ABS(X188)&lt;=0.01,"OK","Revisar"))</f>
        <v>Sin factura</v>
      </c>
      <c r="AC188" s="13"/>
      <c r="AD188" s="14" t="str">
        <f aca="false">IF(A188="","",IF(L188="N","Producto no conforme",IF(M188="N","Falta registro sanitario",IF(OR(Y188="Parcial",Y188="Vencida"),IF(Z188="","Reprogramar recepción","Reprogramada "&amp;TEXT(Z188,"dd/mm")),IF(Y188="Pendiente","En espera",IF(U188="N","Completar documentos",IF(AB188="Revisar","Revisar importe facturado",IF(AC188&lt;&gt;"S","Registrar en Kontrollers","OK"))))))))</f>
        <v/>
      </c>
      <c r="AE188" s="13"/>
    </row>
    <row r="189" customFormat="false" ht="15" hidden="false" customHeight="false" outlineLevel="0" collapsed="false">
      <c r="A189" s="13"/>
      <c r="B189" s="16"/>
      <c r="C189" s="13"/>
      <c r="D189" s="13"/>
      <c r="E189" s="13"/>
      <c r="F189" s="13"/>
      <c r="G189" s="18"/>
      <c r="H189" s="16"/>
      <c r="I189" s="16"/>
      <c r="J189" s="17"/>
      <c r="K189" s="17"/>
      <c r="L189" s="13"/>
      <c r="M189" s="13"/>
      <c r="N189" s="13"/>
      <c r="O189" s="13"/>
      <c r="P189" s="13"/>
      <c r="Q189" s="14" t="str">
        <f aca="false">IF(B189="","",MONTH(B189))</f>
        <v/>
      </c>
      <c r="R189" s="20" t="str">
        <f aca="false">IF(OR(J189="",J189=0),"",MIN(1,K189/J189))</f>
        <v/>
      </c>
      <c r="S189" s="21" t="str">
        <f aca="true">IF(H189="","",IF(I189="",MAX(0,TODAY()-H189),MAX(0,I189-H189)))</f>
        <v/>
      </c>
      <c r="T189" s="14" t="str">
        <f aca="false">IF(OR(H189="",I189=""),"",IF(I189&lt;=H189,"S","N"))</f>
        <v/>
      </c>
      <c r="U189" s="14" t="str">
        <f aca="false">IF(A189="","",IF(AND(N189="S",O189="S",P189="S"),"S","N"))</f>
        <v/>
      </c>
      <c r="V189" s="13"/>
      <c r="W189" s="18"/>
      <c r="X189" s="19" t="str">
        <f aca="false">IF(W189="","",W189-G189)</f>
        <v/>
      </c>
      <c r="Y189" s="14" t="str">
        <f aca="true">IF(A189="","",IF(K189=0,IF(AND(H189&lt;&gt;"",TODAY()&gt;H189),"Vencida","Pendiente"),IF(K189&lt;J189,"Parcial","Completa")))</f>
        <v/>
      </c>
      <c r="Z189" s="16"/>
      <c r="AA189" s="13"/>
      <c r="AB189" s="14" t="str">
        <f aca="false">IF(W189="","Sin factura",IF(ABS(X189)&lt;=0.01,"OK","Revisar"))</f>
        <v>Sin factura</v>
      </c>
      <c r="AC189" s="13"/>
      <c r="AD189" s="14" t="str">
        <f aca="false">IF(A189="","",IF(L189="N","Producto no conforme",IF(M189="N","Falta registro sanitario",IF(OR(Y189="Parcial",Y189="Vencida"),IF(Z189="","Reprogramar recepción","Reprogramada "&amp;TEXT(Z189,"dd/mm")),IF(Y189="Pendiente","En espera",IF(U189="N","Completar documentos",IF(AB189="Revisar","Revisar importe facturado",IF(AC189&lt;&gt;"S","Registrar en Kontrollers","OK"))))))))</f>
        <v/>
      </c>
      <c r="AE189" s="13"/>
    </row>
    <row r="190" customFormat="false" ht="15" hidden="false" customHeight="false" outlineLevel="0" collapsed="false">
      <c r="A190" s="13"/>
      <c r="B190" s="16"/>
      <c r="C190" s="13"/>
      <c r="D190" s="13"/>
      <c r="E190" s="13"/>
      <c r="F190" s="13"/>
      <c r="G190" s="18"/>
      <c r="H190" s="16"/>
      <c r="I190" s="16"/>
      <c r="J190" s="17"/>
      <c r="K190" s="17"/>
      <c r="L190" s="13"/>
      <c r="M190" s="13"/>
      <c r="N190" s="13"/>
      <c r="O190" s="13"/>
      <c r="P190" s="13"/>
      <c r="Q190" s="14" t="str">
        <f aca="false">IF(B190="","",MONTH(B190))</f>
        <v/>
      </c>
      <c r="R190" s="20" t="str">
        <f aca="false">IF(OR(J190="",J190=0),"",MIN(1,K190/J190))</f>
        <v/>
      </c>
      <c r="S190" s="21" t="str">
        <f aca="true">IF(H190="","",IF(I190="",MAX(0,TODAY()-H190),MAX(0,I190-H190)))</f>
        <v/>
      </c>
      <c r="T190" s="14" t="str">
        <f aca="false">IF(OR(H190="",I190=""),"",IF(I190&lt;=H190,"S","N"))</f>
        <v/>
      </c>
      <c r="U190" s="14" t="str">
        <f aca="false">IF(A190="","",IF(AND(N190="S",O190="S",P190="S"),"S","N"))</f>
        <v/>
      </c>
      <c r="V190" s="13"/>
      <c r="W190" s="18"/>
      <c r="X190" s="19" t="str">
        <f aca="false">IF(W190="","",W190-G190)</f>
        <v/>
      </c>
      <c r="Y190" s="14" t="str">
        <f aca="true">IF(A190="","",IF(K190=0,IF(AND(H190&lt;&gt;"",TODAY()&gt;H190),"Vencida","Pendiente"),IF(K190&lt;J190,"Parcial","Completa")))</f>
        <v/>
      </c>
      <c r="Z190" s="16"/>
      <c r="AA190" s="13"/>
      <c r="AB190" s="14" t="str">
        <f aca="false">IF(W190="","Sin factura",IF(ABS(X190)&lt;=0.01,"OK","Revisar"))</f>
        <v>Sin factura</v>
      </c>
      <c r="AC190" s="13"/>
      <c r="AD190" s="14" t="str">
        <f aca="false">IF(A190="","",IF(L190="N","Producto no conforme",IF(M190="N","Falta registro sanitario",IF(OR(Y190="Parcial",Y190="Vencida"),IF(Z190="","Reprogramar recepción","Reprogramada "&amp;TEXT(Z190,"dd/mm")),IF(Y190="Pendiente","En espera",IF(U190="N","Completar documentos",IF(AB190="Revisar","Revisar importe facturado",IF(AC190&lt;&gt;"S","Registrar en Kontrollers","OK"))))))))</f>
        <v/>
      </c>
      <c r="AE190" s="13"/>
    </row>
    <row r="191" customFormat="false" ht="15" hidden="false" customHeight="false" outlineLevel="0" collapsed="false">
      <c r="A191" s="13"/>
      <c r="B191" s="16"/>
      <c r="C191" s="13"/>
      <c r="D191" s="13"/>
      <c r="E191" s="13"/>
      <c r="F191" s="13"/>
      <c r="G191" s="18"/>
      <c r="H191" s="16"/>
      <c r="I191" s="16"/>
      <c r="J191" s="17"/>
      <c r="K191" s="17"/>
      <c r="L191" s="13"/>
      <c r="M191" s="13"/>
      <c r="N191" s="13"/>
      <c r="O191" s="13"/>
      <c r="P191" s="13"/>
      <c r="Q191" s="14" t="str">
        <f aca="false">IF(B191="","",MONTH(B191))</f>
        <v/>
      </c>
      <c r="R191" s="20" t="str">
        <f aca="false">IF(OR(J191="",J191=0),"",MIN(1,K191/J191))</f>
        <v/>
      </c>
      <c r="S191" s="21" t="str">
        <f aca="true">IF(H191="","",IF(I191="",MAX(0,TODAY()-H191),MAX(0,I191-H191)))</f>
        <v/>
      </c>
      <c r="T191" s="14" t="str">
        <f aca="false">IF(OR(H191="",I191=""),"",IF(I191&lt;=H191,"S","N"))</f>
        <v/>
      </c>
      <c r="U191" s="14" t="str">
        <f aca="false">IF(A191="","",IF(AND(N191="S",O191="S",P191="S"),"S","N"))</f>
        <v/>
      </c>
      <c r="V191" s="13"/>
      <c r="W191" s="18"/>
      <c r="X191" s="19" t="str">
        <f aca="false">IF(W191="","",W191-G191)</f>
        <v/>
      </c>
      <c r="Y191" s="14" t="str">
        <f aca="true">IF(A191="","",IF(K191=0,IF(AND(H191&lt;&gt;"",TODAY()&gt;H191),"Vencida","Pendiente"),IF(K191&lt;J191,"Parcial","Completa")))</f>
        <v/>
      </c>
      <c r="Z191" s="16"/>
      <c r="AA191" s="13"/>
      <c r="AB191" s="14" t="str">
        <f aca="false">IF(W191="","Sin factura",IF(ABS(X191)&lt;=0.01,"OK","Revisar"))</f>
        <v>Sin factura</v>
      </c>
      <c r="AC191" s="13"/>
      <c r="AD191" s="14" t="str">
        <f aca="false">IF(A191="","",IF(L191="N","Producto no conforme",IF(M191="N","Falta registro sanitario",IF(OR(Y191="Parcial",Y191="Vencida"),IF(Z191="","Reprogramar recepción","Reprogramada "&amp;TEXT(Z191,"dd/mm")),IF(Y191="Pendiente","En espera",IF(U191="N","Completar documentos",IF(AB191="Revisar","Revisar importe facturado",IF(AC191&lt;&gt;"S","Registrar en Kontrollers","OK"))))))))</f>
        <v/>
      </c>
      <c r="AE191" s="13"/>
    </row>
    <row r="192" customFormat="false" ht="15" hidden="false" customHeight="false" outlineLevel="0" collapsed="false">
      <c r="A192" s="13"/>
      <c r="B192" s="16"/>
      <c r="C192" s="13"/>
      <c r="D192" s="13"/>
      <c r="E192" s="13"/>
      <c r="F192" s="13"/>
      <c r="G192" s="18"/>
      <c r="H192" s="16"/>
      <c r="I192" s="16"/>
      <c r="J192" s="17"/>
      <c r="K192" s="17"/>
      <c r="L192" s="13"/>
      <c r="M192" s="13"/>
      <c r="N192" s="13"/>
      <c r="O192" s="13"/>
      <c r="P192" s="13"/>
      <c r="Q192" s="14" t="str">
        <f aca="false">IF(B192="","",MONTH(B192))</f>
        <v/>
      </c>
      <c r="R192" s="20" t="str">
        <f aca="false">IF(OR(J192="",J192=0),"",MIN(1,K192/J192))</f>
        <v/>
      </c>
      <c r="S192" s="21" t="str">
        <f aca="true">IF(H192="","",IF(I192="",MAX(0,TODAY()-H192),MAX(0,I192-H192)))</f>
        <v/>
      </c>
      <c r="T192" s="14" t="str">
        <f aca="false">IF(OR(H192="",I192=""),"",IF(I192&lt;=H192,"S","N"))</f>
        <v/>
      </c>
      <c r="U192" s="14" t="str">
        <f aca="false">IF(A192="","",IF(AND(N192="S",O192="S",P192="S"),"S","N"))</f>
        <v/>
      </c>
      <c r="V192" s="13"/>
      <c r="W192" s="18"/>
      <c r="X192" s="19" t="str">
        <f aca="false">IF(W192="","",W192-G192)</f>
        <v/>
      </c>
      <c r="Y192" s="14" t="str">
        <f aca="true">IF(A192="","",IF(K192=0,IF(AND(H192&lt;&gt;"",TODAY()&gt;H192),"Vencida","Pendiente"),IF(K192&lt;J192,"Parcial","Completa")))</f>
        <v/>
      </c>
      <c r="Z192" s="16"/>
      <c r="AA192" s="13"/>
      <c r="AB192" s="14" t="str">
        <f aca="false">IF(W192="","Sin factura",IF(ABS(X192)&lt;=0.01,"OK","Revisar"))</f>
        <v>Sin factura</v>
      </c>
      <c r="AC192" s="13"/>
      <c r="AD192" s="14" t="str">
        <f aca="false">IF(A192="","",IF(L192="N","Producto no conforme",IF(M192="N","Falta registro sanitario",IF(OR(Y192="Parcial",Y192="Vencida"),IF(Z192="","Reprogramar recepción","Reprogramada "&amp;TEXT(Z192,"dd/mm")),IF(Y192="Pendiente","En espera",IF(U192="N","Completar documentos",IF(AB192="Revisar","Revisar importe facturado",IF(AC192&lt;&gt;"S","Registrar en Kontrollers","OK"))))))))</f>
        <v/>
      </c>
      <c r="AE192" s="13"/>
    </row>
    <row r="193" customFormat="false" ht="15" hidden="false" customHeight="false" outlineLevel="0" collapsed="false">
      <c r="A193" s="13"/>
      <c r="B193" s="16"/>
      <c r="C193" s="13"/>
      <c r="D193" s="13"/>
      <c r="E193" s="13"/>
      <c r="F193" s="13"/>
      <c r="G193" s="18"/>
      <c r="H193" s="16"/>
      <c r="I193" s="16"/>
      <c r="J193" s="17"/>
      <c r="K193" s="17"/>
      <c r="L193" s="13"/>
      <c r="M193" s="13"/>
      <c r="N193" s="13"/>
      <c r="O193" s="13"/>
      <c r="P193" s="13"/>
      <c r="Q193" s="14" t="str">
        <f aca="false">IF(B193="","",MONTH(B193))</f>
        <v/>
      </c>
      <c r="R193" s="20" t="str">
        <f aca="false">IF(OR(J193="",J193=0),"",MIN(1,K193/J193))</f>
        <v/>
      </c>
      <c r="S193" s="21" t="str">
        <f aca="true">IF(H193="","",IF(I193="",MAX(0,TODAY()-H193),MAX(0,I193-H193)))</f>
        <v/>
      </c>
      <c r="T193" s="14" t="str">
        <f aca="false">IF(OR(H193="",I193=""),"",IF(I193&lt;=H193,"S","N"))</f>
        <v/>
      </c>
      <c r="U193" s="14" t="str">
        <f aca="false">IF(A193="","",IF(AND(N193="S",O193="S",P193="S"),"S","N"))</f>
        <v/>
      </c>
      <c r="V193" s="13"/>
      <c r="W193" s="18"/>
      <c r="X193" s="19" t="str">
        <f aca="false">IF(W193="","",W193-G193)</f>
        <v/>
      </c>
      <c r="Y193" s="14" t="str">
        <f aca="true">IF(A193="","",IF(K193=0,IF(AND(H193&lt;&gt;"",TODAY()&gt;H193),"Vencida","Pendiente"),IF(K193&lt;J193,"Parcial","Completa")))</f>
        <v/>
      </c>
      <c r="Z193" s="16"/>
      <c r="AA193" s="13"/>
      <c r="AB193" s="14" t="str">
        <f aca="false">IF(W193="","Sin factura",IF(ABS(X193)&lt;=0.01,"OK","Revisar"))</f>
        <v>Sin factura</v>
      </c>
      <c r="AC193" s="13"/>
      <c r="AD193" s="14" t="str">
        <f aca="false">IF(A193="","",IF(L193="N","Producto no conforme",IF(M193="N","Falta registro sanitario",IF(OR(Y193="Parcial",Y193="Vencida"),IF(Z193="","Reprogramar recepción","Reprogramada "&amp;TEXT(Z193,"dd/mm")),IF(Y193="Pendiente","En espera",IF(U193="N","Completar documentos",IF(AB193="Revisar","Revisar importe facturado",IF(AC193&lt;&gt;"S","Registrar en Kontrollers","OK"))))))))</f>
        <v/>
      </c>
      <c r="AE193" s="13"/>
    </row>
    <row r="194" customFormat="false" ht="15" hidden="false" customHeight="false" outlineLevel="0" collapsed="false">
      <c r="A194" s="13"/>
      <c r="B194" s="16"/>
      <c r="C194" s="13"/>
      <c r="D194" s="13"/>
      <c r="E194" s="13"/>
      <c r="F194" s="13"/>
      <c r="G194" s="18"/>
      <c r="H194" s="16"/>
      <c r="I194" s="16"/>
      <c r="J194" s="17"/>
      <c r="K194" s="17"/>
      <c r="L194" s="13"/>
      <c r="M194" s="13"/>
      <c r="N194" s="13"/>
      <c r="O194" s="13"/>
      <c r="P194" s="13"/>
      <c r="Q194" s="14" t="str">
        <f aca="false">IF(B194="","",MONTH(B194))</f>
        <v/>
      </c>
      <c r="R194" s="20" t="str">
        <f aca="false">IF(OR(J194="",J194=0),"",MIN(1,K194/J194))</f>
        <v/>
      </c>
      <c r="S194" s="21" t="str">
        <f aca="true">IF(H194="","",IF(I194="",MAX(0,TODAY()-H194),MAX(0,I194-H194)))</f>
        <v/>
      </c>
      <c r="T194" s="14" t="str">
        <f aca="false">IF(OR(H194="",I194=""),"",IF(I194&lt;=H194,"S","N"))</f>
        <v/>
      </c>
      <c r="U194" s="14" t="str">
        <f aca="false">IF(A194="","",IF(AND(N194="S",O194="S",P194="S"),"S","N"))</f>
        <v/>
      </c>
      <c r="V194" s="13"/>
      <c r="W194" s="18"/>
      <c r="X194" s="19" t="str">
        <f aca="false">IF(W194="","",W194-G194)</f>
        <v/>
      </c>
      <c r="Y194" s="14" t="str">
        <f aca="true">IF(A194="","",IF(K194=0,IF(AND(H194&lt;&gt;"",TODAY()&gt;H194),"Vencida","Pendiente"),IF(K194&lt;J194,"Parcial","Completa")))</f>
        <v/>
      </c>
      <c r="Z194" s="16"/>
      <c r="AA194" s="13"/>
      <c r="AB194" s="14" t="str">
        <f aca="false">IF(W194="","Sin factura",IF(ABS(X194)&lt;=0.01,"OK","Revisar"))</f>
        <v>Sin factura</v>
      </c>
      <c r="AC194" s="13"/>
      <c r="AD194" s="14" t="str">
        <f aca="false">IF(A194="","",IF(L194="N","Producto no conforme",IF(M194="N","Falta registro sanitario",IF(OR(Y194="Parcial",Y194="Vencida"),IF(Z194="","Reprogramar recepción","Reprogramada "&amp;TEXT(Z194,"dd/mm")),IF(Y194="Pendiente","En espera",IF(U194="N","Completar documentos",IF(AB194="Revisar","Revisar importe facturado",IF(AC194&lt;&gt;"S","Registrar en Kontrollers","OK"))))))))</f>
        <v/>
      </c>
      <c r="AE194" s="13"/>
    </row>
    <row r="195" customFormat="false" ht="15" hidden="false" customHeight="false" outlineLevel="0" collapsed="false">
      <c r="A195" s="13"/>
      <c r="B195" s="16"/>
      <c r="C195" s="13"/>
      <c r="D195" s="13"/>
      <c r="E195" s="13"/>
      <c r="F195" s="13"/>
      <c r="G195" s="18"/>
      <c r="H195" s="16"/>
      <c r="I195" s="16"/>
      <c r="J195" s="17"/>
      <c r="K195" s="17"/>
      <c r="L195" s="13"/>
      <c r="M195" s="13"/>
      <c r="N195" s="13"/>
      <c r="O195" s="13"/>
      <c r="P195" s="13"/>
      <c r="Q195" s="14" t="str">
        <f aca="false">IF(B195="","",MONTH(B195))</f>
        <v/>
      </c>
      <c r="R195" s="20" t="str">
        <f aca="false">IF(OR(J195="",J195=0),"",MIN(1,K195/J195))</f>
        <v/>
      </c>
      <c r="S195" s="21" t="str">
        <f aca="true">IF(H195="","",IF(I195="",MAX(0,TODAY()-H195),MAX(0,I195-H195)))</f>
        <v/>
      </c>
      <c r="T195" s="14" t="str">
        <f aca="false">IF(OR(H195="",I195=""),"",IF(I195&lt;=H195,"S","N"))</f>
        <v/>
      </c>
      <c r="U195" s="14" t="str">
        <f aca="false">IF(A195="","",IF(AND(N195="S",O195="S",P195="S"),"S","N"))</f>
        <v/>
      </c>
      <c r="V195" s="13"/>
      <c r="W195" s="18"/>
      <c r="X195" s="19" t="str">
        <f aca="false">IF(W195="","",W195-G195)</f>
        <v/>
      </c>
      <c r="Y195" s="14" t="str">
        <f aca="true">IF(A195="","",IF(K195=0,IF(AND(H195&lt;&gt;"",TODAY()&gt;H195),"Vencida","Pendiente"),IF(K195&lt;J195,"Parcial","Completa")))</f>
        <v/>
      </c>
      <c r="Z195" s="16"/>
      <c r="AA195" s="13"/>
      <c r="AB195" s="14" t="str">
        <f aca="false">IF(W195="","Sin factura",IF(ABS(X195)&lt;=0.01,"OK","Revisar"))</f>
        <v>Sin factura</v>
      </c>
      <c r="AC195" s="13"/>
      <c r="AD195" s="14" t="str">
        <f aca="false">IF(A195="","",IF(L195="N","Producto no conforme",IF(M195="N","Falta registro sanitario",IF(OR(Y195="Parcial",Y195="Vencida"),IF(Z195="","Reprogramar recepción","Reprogramada "&amp;TEXT(Z195,"dd/mm")),IF(Y195="Pendiente","En espera",IF(U195="N","Completar documentos",IF(AB195="Revisar","Revisar importe facturado",IF(AC195&lt;&gt;"S","Registrar en Kontrollers","OK"))))))))</f>
        <v/>
      </c>
      <c r="AE195" s="13"/>
    </row>
    <row r="196" customFormat="false" ht="15" hidden="false" customHeight="false" outlineLevel="0" collapsed="false">
      <c r="A196" s="13"/>
      <c r="B196" s="16"/>
      <c r="C196" s="13"/>
      <c r="D196" s="13"/>
      <c r="E196" s="13"/>
      <c r="F196" s="13"/>
      <c r="G196" s="18"/>
      <c r="H196" s="16"/>
      <c r="I196" s="16"/>
      <c r="J196" s="17"/>
      <c r="K196" s="17"/>
      <c r="L196" s="13"/>
      <c r="M196" s="13"/>
      <c r="N196" s="13"/>
      <c r="O196" s="13"/>
      <c r="P196" s="13"/>
      <c r="Q196" s="14" t="str">
        <f aca="false">IF(B196="","",MONTH(B196))</f>
        <v/>
      </c>
      <c r="R196" s="20" t="str">
        <f aca="false">IF(OR(J196="",J196=0),"",MIN(1,K196/J196))</f>
        <v/>
      </c>
      <c r="S196" s="21" t="str">
        <f aca="true">IF(H196="","",IF(I196="",MAX(0,TODAY()-H196),MAX(0,I196-H196)))</f>
        <v/>
      </c>
      <c r="T196" s="14" t="str">
        <f aca="false">IF(OR(H196="",I196=""),"",IF(I196&lt;=H196,"S","N"))</f>
        <v/>
      </c>
      <c r="U196" s="14" t="str">
        <f aca="false">IF(A196="","",IF(AND(N196="S",O196="S",P196="S"),"S","N"))</f>
        <v/>
      </c>
      <c r="V196" s="13"/>
      <c r="W196" s="18"/>
      <c r="X196" s="19" t="str">
        <f aca="false">IF(W196="","",W196-G196)</f>
        <v/>
      </c>
      <c r="Y196" s="14" t="str">
        <f aca="true">IF(A196="","",IF(K196=0,IF(AND(H196&lt;&gt;"",TODAY()&gt;H196),"Vencida","Pendiente"),IF(K196&lt;J196,"Parcial","Completa")))</f>
        <v/>
      </c>
      <c r="Z196" s="16"/>
      <c r="AA196" s="13"/>
      <c r="AB196" s="14" t="str">
        <f aca="false">IF(W196="","Sin factura",IF(ABS(X196)&lt;=0.01,"OK","Revisar"))</f>
        <v>Sin factura</v>
      </c>
      <c r="AC196" s="13"/>
      <c r="AD196" s="14" t="str">
        <f aca="false">IF(A196="","",IF(L196="N","Producto no conforme",IF(M196="N","Falta registro sanitario",IF(OR(Y196="Parcial",Y196="Vencida"),IF(Z196="","Reprogramar recepción","Reprogramada "&amp;TEXT(Z196,"dd/mm")),IF(Y196="Pendiente","En espera",IF(U196="N","Completar documentos",IF(AB196="Revisar","Revisar importe facturado",IF(AC196&lt;&gt;"S","Registrar en Kontrollers","OK"))))))))</f>
        <v/>
      </c>
      <c r="AE196" s="13"/>
    </row>
    <row r="197" customFormat="false" ht="15" hidden="false" customHeight="false" outlineLevel="0" collapsed="false">
      <c r="A197" s="13"/>
      <c r="B197" s="16"/>
      <c r="C197" s="13"/>
      <c r="D197" s="13"/>
      <c r="E197" s="13"/>
      <c r="F197" s="13"/>
      <c r="G197" s="18"/>
      <c r="H197" s="16"/>
      <c r="I197" s="16"/>
      <c r="J197" s="17"/>
      <c r="K197" s="17"/>
      <c r="L197" s="13"/>
      <c r="M197" s="13"/>
      <c r="N197" s="13"/>
      <c r="O197" s="13"/>
      <c r="P197" s="13"/>
      <c r="Q197" s="14" t="str">
        <f aca="false">IF(B197="","",MONTH(B197))</f>
        <v/>
      </c>
      <c r="R197" s="20" t="str">
        <f aca="false">IF(OR(J197="",J197=0),"",MIN(1,K197/J197))</f>
        <v/>
      </c>
      <c r="S197" s="21" t="str">
        <f aca="true">IF(H197="","",IF(I197="",MAX(0,TODAY()-H197),MAX(0,I197-H197)))</f>
        <v/>
      </c>
      <c r="T197" s="14" t="str">
        <f aca="false">IF(OR(H197="",I197=""),"",IF(I197&lt;=H197,"S","N"))</f>
        <v/>
      </c>
      <c r="U197" s="14" t="str">
        <f aca="false">IF(A197="","",IF(AND(N197="S",O197="S",P197="S"),"S","N"))</f>
        <v/>
      </c>
      <c r="V197" s="13"/>
      <c r="W197" s="18"/>
      <c r="X197" s="19" t="str">
        <f aca="false">IF(W197="","",W197-G197)</f>
        <v/>
      </c>
      <c r="Y197" s="14" t="str">
        <f aca="true">IF(A197="","",IF(K197=0,IF(AND(H197&lt;&gt;"",TODAY()&gt;H197),"Vencida","Pendiente"),IF(K197&lt;J197,"Parcial","Completa")))</f>
        <v/>
      </c>
      <c r="Z197" s="16"/>
      <c r="AA197" s="13"/>
      <c r="AB197" s="14" t="str">
        <f aca="false">IF(W197="","Sin factura",IF(ABS(X197)&lt;=0.01,"OK","Revisar"))</f>
        <v>Sin factura</v>
      </c>
      <c r="AC197" s="13"/>
      <c r="AD197" s="14" t="str">
        <f aca="false">IF(A197="","",IF(L197="N","Producto no conforme",IF(M197="N","Falta registro sanitario",IF(OR(Y197="Parcial",Y197="Vencida"),IF(Z197="","Reprogramar recepción","Reprogramada "&amp;TEXT(Z197,"dd/mm")),IF(Y197="Pendiente","En espera",IF(U197="N","Completar documentos",IF(AB197="Revisar","Revisar importe facturado",IF(AC197&lt;&gt;"S","Registrar en Kontrollers","OK"))))))))</f>
        <v/>
      </c>
      <c r="AE197" s="13"/>
    </row>
    <row r="198" customFormat="false" ht="15" hidden="false" customHeight="false" outlineLevel="0" collapsed="false">
      <c r="A198" s="13"/>
      <c r="B198" s="16"/>
      <c r="C198" s="13"/>
      <c r="D198" s="13"/>
      <c r="E198" s="13"/>
      <c r="F198" s="13"/>
      <c r="G198" s="18"/>
      <c r="H198" s="16"/>
      <c r="I198" s="16"/>
      <c r="J198" s="17"/>
      <c r="K198" s="17"/>
      <c r="L198" s="13"/>
      <c r="M198" s="13"/>
      <c r="N198" s="13"/>
      <c r="O198" s="13"/>
      <c r="P198" s="13"/>
      <c r="Q198" s="14" t="str">
        <f aca="false">IF(B198="","",MONTH(B198))</f>
        <v/>
      </c>
      <c r="R198" s="20" t="str">
        <f aca="false">IF(OR(J198="",J198=0),"",MIN(1,K198/J198))</f>
        <v/>
      </c>
      <c r="S198" s="21" t="str">
        <f aca="true">IF(H198="","",IF(I198="",MAX(0,TODAY()-H198),MAX(0,I198-H198)))</f>
        <v/>
      </c>
      <c r="T198" s="14" t="str">
        <f aca="false">IF(OR(H198="",I198=""),"",IF(I198&lt;=H198,"S","N"))</f>
        <v/>
      </c>
      <c r="U198" s="14" t="str">
        <f aca="false">IF(A198="","",IF(AND(N198="S",O198="S",P198="S"),"S","N"))</f>
        <v/>
      </c>
      <c r="V198" s="13"/>
      <c r="W198" s="18"/>
      <c r="X198" s="19" t="str">
        <f aca="false">IF(W198="","",W198-G198)</f>
        <v/>
      </c>
      <c r="Y198" s="14" t="str">
        <f aca="true">IF(A198="","",IF(K198=0,IF(AND(H198&lt;&gt;"",TODAY()&gt;H198),"Vencida","Pendiente"),IF(K198&lt;J198,"Parcial","Completa")))</f>
        <v/>
      </c>
      <c r="Z198" s="16"/>
      <c r="AA198" s="13"/>
      <c r="AB198" s="14" t="str">
        <f aca="false">IF(W198="","Sin factura",IF(ABS(X198)&lt;=0.01,"OK","Revisar"))</f>
        <v>Sin factura</v>
      </c>
      <c r="AC198" s="13"/>
      <c r="AD198" s="14" t="str">
        <f aca="false">IF(A198="","",IF(L198="N","Producto no conforme",IF(M198="N","Falta registro sanitario",IF(OR(Y198="Parcial",Y198="Vencida"),IF(Z198="","Reprogramar recepción","Reprogramada "&amp;TEXT(Z198,"dd/mm")),IF(Y198="Pendiente","En espera",IF(U198="N","Completar documentos",IF(AB198="Revisar","Revisar importe facturado",IF(AC198&lt;&gt;"S","Registrar en Kontrollers","OK"))))))))</f>
        <v/>
      </c>
      <c r="AE198" s="13"/>
    </row>
    <row r="199" customFormat="false" ht="15" hidden="false" customHeight="false" outlineLevel="0" collapsed="false">
      <c r="A199" s="13"/>
      <c r="B199" s="16"/>
      <c r="C199" s="13"/>
      <c r="D199" s="13"/>
      <c r="E199" s="13"/>
      <c r="F199" s="13"/>
      <c r="G199" s="18"/>
      <c r="H199" s="16"/>
      <c r="I199" s="16"/>
      <c r="J199" s="17"/>
      <c r="K199" s="17"/>
      <c r="L199" s="13"/>
      <c r="M199" s="13"/>
      <c r="N199" s="13"/>
      <c r="O199" s="13"/>
      <c r="P199" s="13"/>
      <c r="Q199" s="14" t="str">
        <f aca="false">IF(B199="","",MONTH(B199))</f>
        <v/>
      </c>
      <c r="R199" s="20" t="str">
        <f aca="false">IF(OR(J199="",J199=0),"",MIN(1,K199/J199))</f>
        <v/>
      </c>
      <c r="S199" s="21" t="str">
        <f aca="true">IF(H199="","",IF(I199="",MAX(0,TODAY()-H199),MAX(0,I199-H199)))</f>
        <v/>
      </c>
      <c r="T199" s="14" t="str">
        <f aca="false">IF(OR(H199="",I199=""),"",IF(I199&lt;=H199,"S","N"))</f>
        <v/>
      </c>
      <c r="U199" s="14" t="str">
        <f aca="false">IF(A199="","",IF(AND(N199="S",O199="S",P199="S"),"S","N"))</f>
        <v/>
      </c>
      <c r="V199" s="13"/>
      <c r="W199" s="18"/>
      <c r="X199" s="19" t="str">
        <f aca="false">IF(W199="","",W199-G199)</f>
        <v/>
      </c>
      <c r="Y199" s="14" t="str">
        <f aca="true">IF(A199="","",IF(K199=0,IF(AND(H199&lt;&gt;"",TODAY()&gt;H199),"Vencida","Pendiente"),IF(K199&lt;J199,"Parcial","Completa")))</f>
        <v/>
      </c>
      <c r="Z199" s="16"/>
      <c r="AA199" s="13"/>
      <c r="AB199" s="14" t="str">
        <f aca="false">IF(W199="","Sin factura",IF(ABS(X199)&lt;=0.01,"OK","Revisar"))</f>
        <v>Sin factura</v>
      </c>
      <c r="AC199" s="13"/>
      <c r="AD199" s="14" t="str">
        <f aca="false">IF(A199="","",IF(L199="N","Producto no conforme",IF(M199="N","Falta registro sanitario",IF(OR(Y199="Parcial",Y199="Vencida"),IF(Z199="","Reprogramar recepción","Reprogramada "&amp;TEXT(Z199,"dd/mm")),IF(Y199="Pendiente","En espera",IF(U199="N","Completar documentos",IF(AB199="Revisar","Revisar importe facturado",IF(AC199&lt;&gt;"S","Registrar en Kontrollers","OK"))))))))</f>
        <v/>
      </c>
      <c r="AE199" s="13"/>
    </row>
    <row r="200" customFormat="false" ht="15" hidden="false" customHeight="false" outlineLevel="0" collapsed="false">
      <c r="A200" s="13"/>
      <c r="B200" s="16"/>
      <c r="C200" s="13"/>
      <c r="D200" s="13"/>
      <c r="E200" s="13"/>
      <c r="F200" s="13"/>
      <c r="G200" s="18"/>
      <c r="H200" s="16"/>
      <c r="I200" s="16"/>
      <c r="J200" s="17"/>
      <c r="K200" s="17"/>
      <c r="L200" s="13"/>
      <c r="M200" s="13"/>
      <c r="N200" s="13"/>
      <c r="O200" s="13"/>
      <c r="P200" s="13"/>
      <c r="Q200" s="14" t="str">
        <f aca="false">IF(B200="","",MONTH(B200))</f>
        <v/>
      </c>
      <c r="R200" s="20" t="str">
        <f aca="false">IF(OR(J200="",J200=0),"",MIN(1,K200/J200))</f>
        <v/>
      </c>
      <c r="S200" s="21" t="str">
        <f aca="true">IF(H200="","",IF(I200="",MAX(0,TODAY()-H200),MAX(0,I200-H200)))</f>
        <v/>
      </c>
      <c r="T200" s="14" t="str">
        <f aca="false">IF(OR(H200="",I200=""),"",IF(I200&lt;=H200,"S","N"))</f>
        <v/>
      </c>
      <c r="U200" s="14" t="str">
        <f aca="false">IF(A200="","",IF(AND(N200="S",O200="S",P200="S"),"S","N"))</f>
        <v/>
      </c>
      <c r="V200" s="13"/>
      <c r="W200" s="18"/>
      <c r="X200" s="19" t="str">
        <f aca="false">IF(W200="","",W200-G200)</f>
        <v/>
      </c>
      <c r="Y200" s="14" t="str">
        <f aca="true">IF(A200="","",IF(K200=0,IF(AND(H200&lt;&gt;"",TODAY()&gt;H200),"Vencida","Pendiente"),IF(K200&lt;J200,"Parcial","Completa")))</f>
        <v/>
      </c>
      <c r="Z200" s="16"/>
      <c r="AA200" s="13"/>
      <c r="AB200" s="14" t="str">
        <f aca="false">IF(W200="","Sin factura",IF(ABS(X200)&lt;=0.01,"OK","Revisar"))</f>
        <v>Sin factura</v>
      </c>
      <c r="AC200" s="13"/>
      <c r="AD200" s="14" t="str">
        <f aca="false">IF(A200="","",IF(L200="N","Producto no conforme",IF(M200="N","Falta registro sanitario",IF(OR(Y200="Parcial",Y200="Vencida"),IF(Z200="","Reprogramar recepción","Reprogramada "&amp;TEXT(Z200,"dd/mm")),IF(Y200="Pendiente","En espera",IF(U200="N","Completar documentos",IF(AB200="Revisar","Revisar importe facturado",IF(AC200&lt;&gt;"S","Registrar en Kontrollers","OK"))))))))</f>
        <v/>
      </c>
      <c r="AE200" s="13"/>
    </row>
    <row r="201" customFormat="false" ht="15" hidden="false" customHeight="false" outlineLevel="0" collapsed="false">
      <c r="A201" s="13"/>
      <c r="B201" s="16"/>
      <c r="C201" s="13"/>
      <c r="D201" s="13"/>
      <c r="E201" s="13"/>
      <c r="F201" s="13"/>
      <c r="G201" s="18"/>
      <c r="H201" s="16"/>
      <c r="I201" s="16"/>
      <c r="J201" s="17"/>
      <c r="K201" s="17"/>
      <c r="L201" s="13"/>
      <c r="M201" s="13"/>
      <c r="N201" s="13"/>
      <c r="O201" s="13"/>
      <c r="P201" s="13"/>
      <c r="Q201" s="14" t="str">
        <f aca="false">IF(B201="","",MONTH(B201))</f>
        <v/>
      </c>
      <c r="R201" s="20" t="str">
        <f aca="false">IF(OR(J201="",J201=0),"",MIN(1,K201/J201))</f>
        <v/>
      </c>
      <c r="S201" s="21" t="str">
        <f aca="true">IF(H201="","",IF(I201="",MAX(0,TODAY()-H201),MAX(0,I201-H201)))</f>
        <v/>
      </c>
      <c r="T201" s="14" t="str">
        <f aca="false">IF(OR(H201="",I201=""),"",IF(I201&lt;=H201,"S","N"))</f>
        <v/>
      </c>
      <c r="U201" s="14" t="str">
        <f aca="false">IF(A201="","",IF(AND(N201="S",O201="S",P201="S"),"S","N"))</f>
        <v/>
      </c>
      <c r="V201" s="13"/>
      <c r="W201" s="18"/>
      <c r="X201" s="19" t="str">
        <f aca="false">IF(W201="","",W201-G201)</f>
        <v/>
      </c>
      <c r="Y201" s="14" t="str">
        <f aca="true">IF(A201="","",IF(K201=0,IF(AND(H201&lt;&gt;"",TODAY()&gt;H201),"Vencida","Pendiente"),IF(K201&lt;J201,"Parcial","Completa")))</f>
        <v/>
      </c>
      <c r="Z201" s="16"/>
      <c r="AA201" s="13"/>
      <c r="AB201" s="14" t="str">
        <f aca="false">IF(W201="","Sin factura",IF(ABS(X201)&lt;=0.01,"OK","Revisar"))</f>
        <v>Sin factura</v>
      </c>
      <c r="AC201" s="13"/>
      <c r="AD201" s="14" t="str">
        <f aca="false">IF(A201="","",IF(L201="N","Producto no conforme",IF(M201="N","Falta registro sanitario",IF(OR(Y201="Parcial",Y201="Vencida"),IF(Z201="","Reprogramar recepción","Reprogramada "&amp;TEXT(Z201,"dd/mm")),IF(Y201="Pendiente","En espera",IF(U201="N","Completar documentos",IF(AB201="Revisar","Revisar importe facturado",IF(AC201&lt;&gt;"S","Registrar en Kontrollers","OK"))))))))</f>
        <v/>
      </c>
      <c r="AE201" s="13"/>
    </row>
    <row r="202" customFormat="false" ht="15" hidden="false" customHeight="false" outlineLevel="0" collapsed="false">
      <c r="A202" s="13"/>
      <c r="B202" s="16"/>
      <c r="C202" s="13"/>
      <c r="D202" s="13"/>
      <c r="E202" s="13"/>
      <c r="F202" s="13"/>
      <c r="G202" s="18"/>
      <c r="H202" s="16"/>
      <c r="I202" s="16"/>
      <c r="J202" s="17"/>
      <c r="K202" s="17"/>
      <c r="L202" s="13"/>
      <c r="M202" s="13"/>
      <c r="N202" s="13"/>
      <c r="O202" s="13"/>
      <c r="P202" s="13"/>
      <c r="Q202" s="14" t="str">
        <f aca="false">IF(B202="","",MONTH(B202))</f>
        <v/>
      </c>
      <c r="R202" s="20" t="str">
        <f aca="false">IF(OR(J202="",J202=0),"",MIN(1,K202/J202))</f>
        <v/>
      </c>
      <c r="S202" s="21" t="str">
        <f aca="true">IF(H202="","",IF(I202="",MAX(0,TODAY()-H202),MAX(0,I202-H202)))</f>
        <v/>
      </c>
      <c r="T202" s="14" t="str">
        <f aca="false">IF(OR(H202="",I202=""),"",IF(I202&lt;=H202,"S","N"))</f>
        <v/>
      </c>
      <c r="U202" s="14" t="str">
        <f aca="false">IF(A202="","",IF(AND(N202="S",O202="S",P202="S"),"S","N"))</f>
        <v/>
      </c>
      <c r="V202" s="13"/>
      <c r="W202" s="18"/>
      <c r="X202" s="19" t="str">
        <f aca="false">IF(W202="","",W202-G202)</f>
        <v/>
      </c>
      <c r="Y202" s="14" t="str">
        <f aca="true">IF(A202="","",IF(K202=0,IF(AND(H202&lt;&gt;"",TODAY()&gt;H202),"Vencida","Pendiente"),IF(K202&lt;J202,"Parcial","Completa")))</f>
        <v/>
      </c>
      <c r="Z202" s="16"/>
      <c r="AA202" s="13"/>
      <c r="AB202" s="14" t="str">
        <f aca="false">IF(W202="","Sin factura",IF(ABS(X202)&lt;=0.01,"OK","Revisar"))</f>
        <v>Sin factura</v>
      </c>
      <c r="AC202" s="13"/>
      <c r="AD202" s="14" t="str">
        <f aca="false">IF(A202="","",IF(L202="N","Producto no conforme",IF(M202="N","Falta registro sanitario",IF(OR(Y202="Parcial",Y202="Vencida"),IF(Z202="","Reprogramar recepción","Reprogramada "&amp;TEXT(Z202,"dd/mm")),IF(Y202="Pendiente","En espera",IF(U202="N","Completar documentos",IF(AB202="Revisar","Revisar importe facturado",IF(AC202&lt;&gt;"S","Registrar en Kontrollers","OK"))))))))</f>
        <v/>
      </c>
      <c r="AE202" s="13"/>
    </row>
    <row r="203" customFormat="false" ht="15" hidden="false" customHeight="false" outlineLevel="0" collapsed="false">
      <c r="A203" s="13"/>
      <c r="B203" s="16"/>
      <c r="C203" s="13"/>
      <c r="D203" s="13"/>
      <c r="E203" s="13"/>
      <c r="F203" s="13"/>
      <c r="G203" s="18"/>
      <c r="H203" s="16"/>
      <c r="I203" s="16"/>
      <c r="J203" s="17"/>
      <c r="K203" s="17"/>
      <c r="L203" s="13"/>
      <c r="M203" s="13"/>
      <c r="N203" s="13"/>
      <c r="O203" s="13"/>
      <c r="P203" s="13"/>
      <c r="Q203" s="14" t="str">
        <f aca="false">IF(B203="","",MONTH(B203))</f>
        <v/>
      </c>
      <c r="R203" s="20" t="str">
        <f aca="false">IF(OR(J203="",J203=0),"",MIN(1,K203/J203))</f>
        <v/>
      </c>
      <c r="S203" s="21" t="str">
        <f aca="true">IF(H203="","",IF(I203="",MAX(0,TODAY()-H203),MAX(0,I203-H203)))</f>
        <v/>
      </c>
      <c r="T203" s="14" t="str">
        <f aca="false">IF(OR(H203="",I203=""),"",IF(I203&lt;=H203,"S","N"))</f>
        <v/>
      </c>
      <c r="U203" s="14" t="str">
        <f aca="false">IF(A203="","",IF(AND(N203="S",O203="S",P203="S"),"S","N"))</f>
        <v/>
      </c>
      <c r="V203" s="13"/>
      <c r="W203" s="18"/>
      <c r="X203" s="19" t="str">
        <f aca="false">IF(W203="","",W203-G203)</f>
        <v/>
      </c>
      <c r="Y203" s="14" t="str">
        <f aca="true">IF(A203="","",IF(K203=0,IF(AND(H203&lt;&gt;"",TODAY()&gt;H203),"Vencida","Pendiente"),IF(K203&lt;J203,"Parcial","Completa")))</f>
        <v/>
      </c>
      <c r="Z203" s="16"/>
      <c r="AA203" s="13"/>
      <c r="AB203" s="14" t="str">
        <f aca="false">IF(W203="","Sin factura",IF(ABS(X203)&lt;=0.01,"OK","Revisar"))</f>
        <v>Sin factura</v>
      </c>
      <c r="AC203" s="13"/>
      <c r="AD203" s="14" t="str">
        <f aca="false">IF(A203="","",IF(L203="N","Producto no conforme",IF(M203="N","Falta registro sanitario",IF(OR(Y203="Parcial",Y203="Vencida"),IF(Z203="","Reprogramar recepción","Reprogramada "&amp;TEXT(Z203,"dd/mm")),IF(Y203="Pendiente","En espera",IF(U203="N","Completar documentos",IF(AB203="Revisar","Revisar importe facturado",IF(AC203&lt;&gt;"S","Registrar en Kontrollers","OK"))))))))</f>
        <v/>
      </c>
      <c r="AE203" s="13"/>
    </row>
    <row r="204" customFormat="false" ht="15" hidden="false" customHeight="false" outlineLevel="0" collapsed="false">
      <c r="A204" s="13"/>
      <c r="B204" s="16"/>
      <c r="C204" s="13"/>
      <c r="D204" s="13"/>
      <c r="E204" s="13"/>
      <c r="F204" s="13"/>
      <c r="G204" s="18"/>
      <c r="H204" s="16"/>
      <c r="I204" s="16"/>
      <c r="J204" s="17"/>
      <c r="K204" s="17"/>
      <c r="L204" s="13"/>
      <c r="M204" s="13"/>
      <c r="N204" s="13"/>
      <c r="O204" s="13"/>
      <c r="P204" s="13"/>
      <c r="Q204" s="14" t="str">
        <f aca="false">IF(B204="","",MONTH(B204))</f>
        <v/>
      </c>
      <c r="R204" s="20" t="str">
        <f aca="false">IF(OR(J204="",J204=0),"",MIN(1,K204/J204))</f>
        <v/>
      </c>
      <c r="S204" s="21" t="str">
        <f aca="true">IF(H204="","",IF(I204="",MAX(0,TODAY()-H204),MAX(0,I204-H204)))</f>
        <v/>
      </c>
      <c r="T204" s="14" t="str">
        <f aca="false">IF(OR(H204="",I204=""),"",IF(I204&lt;=H204,"S","N"))</f>
        <v/>
      </c>
      <c r="U204" s="14" t="str">
        <f aca="false">IF(A204="","",IF(AND(N204="S",O204="S",P204="S"),"S","N"))</f>
        <v/>
      </c>
      <c r="V204" s="13"/>
      <c r="W204" s="18"/>
      <c r="X204" s="19" t="str">
        <f aca="false">IF(W204="","",W204-G204)</f>
        <v/>
      </c>
      <c r="Y204" s="14" t="str">
        <f aca="true">IF(A204="","",IF(K204=0,IF(AND(H204&lt;&gt;"",TODAY()&gt;H204),"Vencida","Pendiente"),IF(K204&lt;J204,"Parcial","Completa")))</f>
        <v/>
      </c>
      <c r="Z204" s="16"/>
      <c r="AA204" s="13"/>
      <c r="AB204" s="14" t="str">
        <f aca="false">IF(W204="","Sin factura",IF(ABS(X204)&lt;=0.01,"OK","Revisar"))</f>
        <v>Sin factura</v>
      </c>
      <c r="AC204" s="13"/>
      <c r="AD204" s="14" t="str">
        <f aca="false">IF(A204="","",IF(L204="N","Producto no conforme",IF(M204="N","Falta registro sanitario",IF(OR(Y204="Parcial",Y204="Vencida"),IF(Z204="","Reprogramar recepción","Reprogramada "&amp;TEXT(Z204,"dd/mm")),IF(Y204="Pendiente","En espera",IF(U204="N","Completar documentos",IF(AB204="Revisar","Revisar importe facturado",IF(AC204&lt;&gt;"S","Registrar en Kontrollers","OK"))))))))</f>
        <v/>
      </c>
      <c r="AE204" s="13"/>
    </row>
    <row r="205" customFormat="false" ht="15" hidden="false" customHeight="false" outlineLevel="0" collapsed="false">
      <c r="A205" s="13"/>
      <c r="B205" s="16"/>
      <c r="C205" s="13"/>
      <c r="D205" s="13"/>
      <c r="E205" s="13"/>
      <c r="F205" s="13"/>
      <c r="G205" s="18"/>
      <c r="H205" s="16"/>
      <c r="I205" s="16"/>
      <c r="J205" s="17"/>
      <c r="K205" s="17"/>
      <c r="L205" s="13"/>
      <c r="M205" s="13"/>
      <c r="N205" s="13"/>
      <c r="O205" s="13"/>
      <c r="P205" s="13"/>
      <c r="Q205" s="14" t="str">
        <f aca="false">IF(B205="","",MONTH(B205))</f>
        <v/>
      </c>
      <c r="R205" s="20" t="str">
        <f aca="false">IF(OR(J205="",J205=0),"",MIN(1,K205/J205))</f>
        <v/>
      </c>
      <c r="S205" s="21" t="str">
        <f aca="true">IF(H205="","",IF(I205="",MAX(0,TODAY()-H205),MAX(0,I205-H205)))</f>
        <v/>
      </c>
      <c r="T205" s="14" t="str">
        <f aca="false">IF(OR(H205="",I205=""),"",IF(I205&lt;=H205,"S","N"))</f>
        <v/>
      </c>
      <c r="U205" s="14" t="str">
        <f aca="false">IF(A205="","",IF(AND(N205="S",O205="S",P205="S"),"S","N"))</f>
        <v/>
      </c>
      <c r="V205" s="13"/>
      <c r="W205" s="18"/>
      <c r="X205" s="19" t="str">
        <f aca="false">IF(W205="","",W205-G205)</f>
        <v/>
      </c>
      <c r="Y205" s="14" t="str">
        <f aca="true">IF(A205="","",IF(K205=0,IF(AND(H205&lt;&gt;"",TODAY()&gt;H205),"Vencida","Pendiente"),IF(K205&lt;J205,"Parcial","Completa")))</f>
        <v/>
      </c>
      <c r="Z205" s="16"/>
      <c r="AA205" s="13"/>
      <c r="AB205" s="14" t="str">
        <f aca="false">IF(W205="","Sin factura",IF(ABS(X205)&lt;=0.01,"OK","Revisar"))</f>
        <v>Sin factura</v>
      </c>
      <c r="AC205" s="13"/>
      <c r="AD205" s="14" t="str">
        <f aca="false">IF(A205="","",IF(L205="N","Producto no conforme",IF(M205="N","Falta registro sanitario",IF(OR(Y205="Parcial",Y205="Vencida"),IF(Z205="","Reprogramar recepción","Reprogramada "&amp;TEXT(Z205,"dd/mm")),IF(Y205="Pendiente","En espera",IF(U205="N","Completar documentos",IF(AB205="Revisar","Revisar importe facturado",IF(AC205&lt;&gt;"S","Registrar en Kontrollers","OK"))))))))</f>
        <v/>
      </c>
      <c r="AE205" s="13"/>
    </row>
    <row r="206" customFormat="false" ht="15" hidden="false" customHeight="false" outlineLevel="0" collapsed="false">
      <c r="A206" s="13"/>
      <c r="B206" s="16"/>
      <c r="C206" s="13"/>
      <c r="D206" s="13"/>
      <c r="E206" s="13"/>
      <c r="F206" s="13"/>
      <c r="G206" s="18"/>
      <c r="H206" s="16"/>
      <c r="I206" s="16"/>
      <c r="J206" s="17"/>
      <c r="K206" s="17"/>
      <c r="L206" s="13"/>
      <c r="M206" s="13"/>
      <c r="N206" s="13"/>
      <c r="O206" s="13"/>
      <c r="P206" s="13"/>
      <c r="Q206" s="14" t="str">
        <f aca="false">IF(B206="","",MONTH(B206))</f>
        <v/>
      </c>
      <c r="R206" s="20" t="str">
        <f aca="false">IF(OR(J206="",J206=0),"",MIN(1,K206/J206))</f>
        <v/>
      </c>
      <c r="S206" s="21" t="str">
        <f aca="true">IF(H206="","",IF(I206="",MAX(0,TODAY()-H206),MAX(0,I206-H206)))</f>
        <v/>
      </c>
      <c r="T206" s="14" t="str">
        <f aca="false">IF(OR(H206="",I206=""),"",IF(I206&lt;=H206,"S","N"))</f>
        <v/>
      </c>
      <c r="U206" s="14" t="str">
        <f aca="false">IF(A206="","",IF(AND(N206="S",O206="S",P206="S"),"S","N"))</f>
        <v/>
      </c>
      <c r="V206" s="13"/>
      <c r="W206" s="18"/>
      <c r="X206" s="19" t="str">
        <f aca="false">IF(W206="","",W206-G206)</f>
        <v/>
      </c>
      <c r="Y206" s="14" t="str">
        <f aca="true">IF(A206="","",IF(K206=0,IF(AND(H206&lt;&gt;"",TODAY()&gt;H206),"Vencida","Pendiente"),IF(K206&lt;J206,"Parcial","Completa")))</f>
        <v/>
      </c>
      <c r="Z206" s="16"/>
      <c r="AA206" s="13"/>
      <c r="AB206" s="14" t="str">
        <f aca="false">IF(W206="","Sin factura",IF(ABS(X206)&lt;=0.01,"OK","Revisar"))</f>
        <v>Sin factura</v>
      </c>
      <c r="AC206" s="13"/>
      <c r="AD206" s="14" t="str">
        <f aca="false">IF(A206="","",IF(L206="N","Producto no conforme",IF(M206="N","Falta registro sanitario",IF(OR(Y206="Parcial",Y206="Vencida"),IF(Z206="","Reprogramar recepción","Reprogramada "&amp;TEXT(Z206,"dd/mm")),IF(Y206="Pendiente","En espera",IF(U206="N","Completar documentos",IF(AB206="Revisar","Revisar importe facturado",IF(AC206&lt;&gt;"S","Registrar en Kontrollers","OK"))))))))</f>
        <v/>
      </c>
      <c r="AE206" s="13"/>
    </row>
    <row r="207" customFormat="false" ht="15" hidden="false" customHeight="false" outlineLevel="0" collapsed="false">
      <c r="A207" s="13"/>
      <c r="B207" s="16"/>
      <c r="C207" s="13"/>
      <c r="D207" s="13"/>
      <c r="E207" s="13"/>
      <c r="F207" s="13"/>
      <c r="G207" s="18"/>
      <c r="H207" s="16"/>
      <c r="I207" s="16"/>
      <c r="J207" s="17"/>
      <c r="K207" s="17"/>
      <c r="L207" s="13"/>
      <c r="M207" s="13"/>
      <c r="N207" s="13"/>
      <c r="O207" s="13"/>
      <c r="P207" s="13"/>
      <c r="Q207" s="14" t="str">
        <f aca="false">IF(B207="","",MONTH(B207))</f>
        <v/>
      </c>
      <c r="R207" s="20" t="str">
        <f aca="false">IF(OR(J207="",J207=0),"",MIN(1,K207/J207))</f>
        <v/>
      </c>
      <c r="S207" s="21" t="str">
        <f aca="true">IF(H207="","",IF(I207="",MAX(0,TODAY()-H207),MAX(0,I207-H207)))</f>
        <v/>
      </c>
      <c r="T207" s="14" t="str">
        <f aca="false">IF(OR(H207="",I207=""),"",IF(I207&lt;=H207,"S","N"))</f>
        <v/>
      </c>
      <c r="U207" s="14" t="str">
        <f aca="false">IF(A207="","",IF(AND(N207="S",O207="S",P207="S"),"S","N"))</f>
        <v/>
      </c>
      <c r="V207" s="13"/>
      <c r="W207" s="18"/>
      <c r="X207" s="19" t="str">
        <f aca="false">IF(W207="","",W207-G207)</f>
        <v/>
      </c>
      <c r="Y207" s="14" t="str">
        <f aca="true">IF(A207="","",IF(K207=0,IF(AND(H207&lt;&gt;"",TODAY()&gt;H207),"Vencida","Pendiente"),IF(K207&lt;J207,"Parcial","Completa")))</f>
        <v/>
      </c>
      <c r="Z207" s="16"/>
      <c r="AA207" s="13"/>
      <c r="AB207" s="14" t="str">
        <f aca="false">IF(W207="","Sin factura",IF(ABS(X207)&lt;=0.01,"OK","Revisar"))</f>
        <v>Sin factura</v>
      </c>
      <c r="AC207" s="13"/>
      <c r="AD207" s="14" t="str">
        <f aca="false">IF(A207="","",IF(L207="N","Producto no conforme",IF(M207="N","Falta registro sanitario",IF(OR(Y207="Parcial",Y207="Vencida"),IF(Z207="","Reprogramar recepción","Reprogramada "&amp;TEXT(Z207,"dd/mm")),IF(Y207="Pendiente","En espera",IF(U207="N","Completar documentos",IF(AB207="Revisar","Revisar importe facturado",IF(AC207&lt;&gt;"S","Registrar en Kontrollers","OK"))))))))</f>
        <v/>
      </c>
      <c r="AE207" s="13"/>
    </row>
    <row r="208" customFormat="false" ht="15" hidden="false" customHeight="false" outlineLevel="0" collapsed="false">
      <c r="A208" s="13"/>
      <c r="B208" s="16"/>
      <c r="C208" s="13"/>
      <c r="D208" s="13"/>
      <c r="E208" s="13"/>
      <c r="F208" s="13"/>
      <c r="G208" s="18"/>
      <c r="H208" s="16"/>
      <c r="I208" s="16"/>
      <c r="J208" s="17"/>
      <c r="K208" s="17"/>
      <c r="L208" s="13"/>
      <c r="M208" s="13"/>
      <c r="N208" s="13"/>
      <c r="O208" s="13"/>
      <c r="P208" s="13"/>
      <c r="Q208" s="14" t="str">
        <f aca="false">IF(B208="","",MONTH(B208))</f>
        <v/>
      </c>
      <c r="R208" s="20" t="str">
        <f aca="false">IF(OR(J208="",J208=0),"",MIN(1,K208/J208))</f>
        <v/>
      </c>
      <c r="S208" s="21" t="str">
        <f aca="true">IF(H208="","",IF(I208="",MAX(0,TODAY()-H208),MAX(0,I208-H208)))</f>
        <v/>
      </c>
      <c r="T208" s="14" t="str">
        <f aca="false">IF(OR(H208="",I208=""),"",IF(I208&lt;=H208,"S","N"))</f>
        <v/>
      </c>
      <c r="U208" s="14" t="str">
        <f aca="false">IF(A208="","",IF(AND(N208="S",O208="S",P208="S"),"S","N"))</f>
        <v/>
      </c>
      <c r="V208" s="13"/>
      <c r="W208" s="18"/>
      <c r="X208" s="19" t="str">
        <f aca="false">IF(W208="","",W208-G208)</f>
        <v/>
      </c>
      <c r="Y208" s="14" t="str">
        <f aca="true">IF(A208="","",IF(K208=0,IF(AND(H208&lt;&gt;"",TODAY()&gt;H208),"Vencida","Pendiente"),IF(K208&lt;J208,"Parcial","Completa")))</f>
        <v/>
      </c>
      <c r="Z208" s="16"/>
      <c r="AA208" s="13"/>
      <c r="AB208" s="14" t="str">
        <f aca="false">IF(W208="","Sin factura",IF(ABS(X208)&lt;=0.01,"OK","Revisar"))</f>
        <v>Sin factura</v>
      </c>
      <c r="AC208" s="13"/>
      <c r="AD208" s="14" t="str">
        <f aca="false">IF(A208="","",IF(L208="N","Producto no conforme",IF(M208="N","Falta registro sanitario",IF(OR(Y208="Parcial",Y208="Vencida"),IF(Z208="","Reprogramar recepción","Reprogramada "&amp;TEXT(Z208,"dd/mm")),IF(Y208="Pendiente","En espera",IF(U208="N","Completar documentos",IF(AB208="Revisar","Revisar importe facturado",IF(AC208&lt;&gt;"S","Registrar en Kontrollers","OK"))))))))</f>
        <v/>
      </c>
      <c r="AE208" s="13"/>
    </row>
    <row r="209" customFormat="false" ht="15" hidden="false" customHeight="false" outlineLevel="0" collapsed="false">
      <c r="A209" s="13"/>
      <c r="B209" s="16"/>
      <c r="C209" s="13"/>
      <c r="D209" s="13"/>
      <c r="E209" s="13"/>
      <c r="F209" s="13"/>
      <c r="G209" s="18"/>
      <c r="H209" s="16"/>
      <c r="I209" s="16"/>
      <c r="J209" s="17"/>
      <c r="K209" s="17"/>
      <c r="L209" s="13"/>
      <c r="M209" s="13"/>
      <c r="N209" s="13"/>
      <c r="O209" s="13"/>
      <c r="P209" s="13"/>
      <c r="Q209" s="14" t="str">
        <f aca="false">IF(B209="","",MONTH(B209))</f>
        <v/>
      </c>
      <c r="R209" s="20" t="str">
        <f aca="false">IF(OR(J209="",J209=0),"",MIN(1,K209/J209))</f>
        <v/>
      </c>
      <c r="S209" s="21" t="str">
        <f aca="true">IF(H209="","",IF(I209="",MAX(0,TODAY()-H209),MAX(0,I209-H209)))</f>
        <v/>
      </c>
      <c r="T209" s="14" t="str">
        <f aca="false">IF(OR(H209="",I209=""),"",IF(I209&lt;=H209,"S","N"))</f>
        <v/>
      </c>
      <c r="U209" s="14" t="str">
        <f aca="false">IF(A209="","",IF(AND(N209="S",O209="S",P209="S"),"S","N"))</f>
        <v/>
      </c>
      <c r="V209" s="13"/>
      <c r="W209" s="18"/>
      <c r="X209" s="19" t="str">
        <f aca="false">IF(W209="","",W209-G209)</f>
        <v/>
      </c>
      <c r="Y209" s="14" t="str">
        <f aca="true">IF(A209="","",IF(K209=0,IF(AND(H209&lt;&gt;"",TODAY()&gt;H209),"Vencida","Pendiente"),IF(K209&lt;J209,"Parcial","Completa")))</f>
        <v/>
      </c>
      <c r="Z209" s="16"/>
      <c r="AA209" s="13"/>
      <c r="AB209" s="14" t="str">
        <f aca="false">IF(W209="","Sin factura",IF(ABS(X209)&lt;=0.01,"OK","Revisar"))</f>
        <v>Sin factura</v>
      </c>
      <c r="AC209" s="13"/>
      <c r="AD209" s="14" t="str">
        <f aca="false">IF(A209="","",IF(L209="N","Producto no conforme",IF(M209="N","Falta registro sanitario",IF(OR(Y209="Parcial",Y209="Vencida"),IF(Z209="","Reprogramar recepción","Reprogramada "&amp;TEXT(Z209,"dd/mm")),IF(Y209="Pendiente","En espera",IF(U209="N","Completar documentos",IF(AB209="Revisar","Revisar importe facturado",IF(AC209&lt;&gt;"S","Registrar en Kontrollers","OK"))))))))</f>
        <v/>
      </c>
      <c r="AE209" s="13"/>
    </row>
    <row r="210" customFormat="false" ht="15" hidden="false" customHeight="false" outlineLevel="0" collapsed="false">
      <c r="A210" s="13"/>
      <c r="B210" s="16"/>
      <c r="C210" s="13"/>
      <c r="D210" s="13"/>
      <c r="E210" s="13"/>
      <c r="F210" s="13"/>
      <c r="G210" s="18"/>
      <c r="H210" s="16"/>
      <c r="I210" s="16"/>
      <c r="J210" s="17"/>
      <c r="K210" s="17"/>
      <c r="L210" s="13"/>
      <c r="M210" s="13"/>
      <c r="N210" s="13"/>
      <c r="O210" s="13"/>
      <c r="P210" s="13"/>
      <c r="Q210" s="14" t="str">
        <f aca="false">IF(B210="","",MONTH(B210))</f>
        <v/>
      </c>
      <c r="R210" s="20" t="str">
        <f aca="false">IF(OR(J210="",J210=0),"",MIN(1,K210/J210))</f>
        <v/>
      </c>
      <c r="S210" s="21" t="str">
        <f aca="true">IF(H210="","",IF(I210="",MAX(0,TODAY()-H210),MAX(0,I210-H210)))</f>
        <v/>
      </c>
      <c r="T210" s="14" t="str">
        <f aca="false">IF(OR(H210="",I210=""),"",IF(I210&lt;=H210,"S","N"))</f>
        <v/>
      </c>
      <c r="U210" s="14" t="str">
        <f aca="false">IF(A210="","",IF(AND(N210="S",O210="S",P210="S"),"S","N"))</f>
        <v/>
      </c>
      <c r="V210" s="13"/>
      <c r="W210" s="18"/>
      <c r="X210" s="19" t="str">
        <f aca="false">IF(W210="","",W210-G210)</f>
        <v/>
      </c>
      <c r="Y210" s="14" t="str">
        <f aca="true">IF(A210="","",IF(K210=0,IF(AND(H210&lt;&gt;"",TODAY()&gt;H210),"Vencida","Pendiente"),IF(K210&lt;J210,"Parcial","Completa")))</f>
        <v/>
      </c>
      <c r="Z210" s="16"/>
      <c r="AA210" s="13"/>
      <c r="AB210" s="14" t="str">
        <f aca="false">IF(W210="","Sin factura",IF(ABS(X210)&lt;=0.01,"OK","Revisar"))</f>
        <v>Sin factura</v>
      </c>
      <c r="AC210" s="13"/>
      <c r="AD210" s="14" t="str">
        <f aca="false">IF(A210="","",IF(L210="N","Producto no conforme",IF(M210="N","Falta registro sanitario",IF(OR(Y210="Parcial",Y210="Vencida"),IF(Z210="","Reprogramar recepción","Reprogramada "&amp;TEXT(Z210,"dd/mm")),IF(Y210="Pendiente","En espera",IF(U210="N","Completar documentos",IF(AB210="Revisar","Revisar importe facturado",IF(AC210&lt;&gt;"S","Registrar en Kontrollers","OK"))))))))</f>
        <v/>
      </c>
      <c r="AE210" s="13"/>
    </row>
    <row r="211" customFormat="false" ht="15" hidden="false" customHeight="false" outlineLevel="0" collapsed="false">
      <c r="A211" s="13"/>
      <c r="B211" s="16"/>
      <c r="C211" s="13"/>
      <c r="D211" s="13"/>
      <c r="E211" s="13"/>
      <c r="F211" s="13"/>
      <c r="G211" s="18"/>
      <c r="H211" s="16"/>
      <c r="I211" s="16"/>
      <c r="J211" s="17"/>
      <c r="K211" s="17"/>
      <c r="L211" s="13"/>
      <c r="M211" s="13"/>
      <c r="N211" s="13"/>
      <c r="O211" s="13"/>
      <c r="P211" s="13"/>
      <c r="Q211" s="14" t="str">
        <f aca="false">IF(B211="","",MONTH(B211))</f>
        <v/>
      </c>
      <c r="R211" s="20" t="str">
        <f aca="false">IF(OR(J211="",J211=0),"",MIN(1,K211/J211))</f>
        <v/>
      </c>
      <c r="S211" s="21" t="str">
        <f aca="true">IF(H211="","",IF(I211="",MAX(0,TODAY()-H211),MAX(0,I211-H211)))</f>
        <v/>
      </c>
      <c r="T211" s="14" t="str">
        <f aca="false">IF(OR(H211="",I211=""),"",IF(I211&lt;=H211,"S","N"))</f>
        <v/>
      </c>
      <c r="U211" s="14" t="str">
        <f aca="false">IF(A211="","",IF(AND(N211="S",O211="S",P211="S"),"S","N"))</f>
        <v/>
      </c>
      <c r="V211" s="13"/>
      <c r="W211" s="18"/>
      <c r="X211" s="19" t="str">
        <f aca="false">IF(W211="","",W211-G211)</f>
        <v/>
      </c>
      <c r="Y211" s="14" t="str">
        <f aca="true">IF(A211="","",IF(K211=0,IF(AND(H211&lt;&gt;"",TODAY()&gt;H211),"Vencida","Pendiente"),IF(K211&lt;J211,"Parcial","Completa")))</f>
        <v/>
      </c>
      <c r="Z211" s="16"/>
      <c r="AA211" s="13"/>
      <c r="AB211" s="14" t="str">
        <f aca="false">IF(W211="","Sin factura",IF(ABS(X211)&lt;=0.01,"OK","Revisar"))</f>
        <v>Sin factura</v>
      </c>
      <c r="AC211" s="13"/>
      <c r="AD211" s="14" t="str">
        <f aca="false">IF(A211="","",IF(L211="N","Producto no conforme",IF(M211="N","Falta registro sanitario",IF(OR(Y211="Parcial",Y211="Vencida"),IF(Z211="","Reprogramar recepción","Reprogramada "&amp;TEXT(Z211,"dd/mm")),IF(Y211="Pendiente","En espera",IF(U211="N","Completar documentos",IF(AB211="Revisar","Revisar importe facturado",IF(AC211&lt;&gt;"S","Registrar en Kontrollers","OK"))))))))</f>
        <v/>
      </c>
      <c r="AE211" s="13"/>
    </row>
    <row r="212" customFormat="false" ht="15" hidden="false" customHeight="false" outlineLevel="0" collapsed="false">
      <c r="A212" s="13"/>
      <c r="B212" s="16"/>
      <c r="C212" s="13"/>
      <c r="D212" s="13"/>
      <c r="E212" s="13"/>
      <c r="F212" s="13"/>
      <c r="G212" s="18"/>
      <c r="H212" s="16"/>
      <c r="I212" s="16"/>
      <c r="J212" s="17"/>
      <c r="K212" s="17"/>
      <c r="L212" s="13"/>
      <c r="M212" s="13"/>
      <c r="N212" s="13"/>
      <c r="O212" s="13"/>
      <c r="P212" s="13"/>
      <c r="Q212" s="14" t="str">
        <f aca="false">IF(B212="","",MONTH(B212))</f>
        <v/>
      </c>
      <c r="R212" s="20" t="str">
        <f aca="false">IF(OR(J212="",J212=0),"",MIN(1,K212/J212))</f>
        <v/>
      </c>
      <c r="S212" s="21" t="str">
        <f aca="true">IF(H212="","",IF(I212="",MAX(0,TODAY()-H212),MAX(0,I212-H212)))</f>
        <v/>
      </c>
      <c r="T212" s="14" t="str">
        <f aca="false">IF(OR(H212="",I212=""),"",IF(I212&lt;=H212,"S","N"))</f>
        <v/>
      </c>
      <c r="U212" s="14" t="str">
        <f aca="false">IF(A212="","",IF(AND(N212="S",O212="S",P212="S"),"S","N"))</f>
        <v/>
      </c>
      <c r="V212" s="13"/>
      <c r="W212" s="18"/>
      <c r="X212" s="19" t="str">
        <f aca="false">IF(W212="","",W212-G212)</f>
        <v/>
      </c>
      <c r="Y212" s="14" t="str">
        <f aca="true">IF(A212="","",IF(K212=0,IF(AND(H212&lt;&gt;"",TODAY()&gt;H212),"Vencida","Pendiente"),IF(K212&lt;J212,"Parcial","Completa")))</f>
        <v/>
      </c>
      <c r="Z212" s="16"/>
      <c r="AA212" s="13"/>
      <c r="AB212" s="14" t="str">
        <f aca="false">IF(W212="","Sin factura",IF(ABS(X212)&lt;=0.01,"OK","Revisar"))</f>
        <v>Sin factura</v>
      </c>
      <c r="AC212" s="13"/>
      <c r="AD212" s="14" t="str">
        <f aca="false">IF(A212="","",IF(L212="N","Producto no conforme",IF(M212="N","Falta registro sanitario",IF(OR(Y212="Parcial",Y212="Vencida"),IF(Z212="","Reprogramar recepción","Reprogramada "&amp;TEXT(Z212,"dd/mm")),IF(Y212="Pendiente","En espera",IF(U212="N","Completar documentos",IF(AB212="Revisar","Revisar importe facturado",IF(AC212&lt;&gt;"S","Registrar en Kontrollers","OK"))))))))</f>
        <v/>
      </c>
      <c r="AE212" s="13"/>
    </row>
    <row r="213" customFormat="false" ht="15" hidden="false" customHeight="false" outlineLevel="0" collapsed="false">
      <c r="A213" s="13"/>
      <c r="B213" s="16"/>
      <c r="C213" s="13"/>
      <c r="D213" s="13"/>
      <c r="E213" s="13"/>
      <c r="F213" s="13"/>
      <c r="G213" s="18"/>
      <c r="H213" s="16"/>
      <c r="I213" s="16"/>
      <c r="J213" s="17"/>
      <c r="K213" s="17"/>
      <c r="L213" s="13"/>
      <c r="M213" s="13"/>
      <c r="N213" s="13"/>
      <c r="O213" s="13"/>
      <c r="P213" s="13"/>
      <c r="Q213" s="14" t="str">
        <f aca="false">IF(B213="","",MONTH(B213))</f>
        <v/>
      </c>
      <c r="R213" s="20" t="str">
        <f aca="false">IF(OR(J213="",J213=0),"",MIN(1,K213/J213))</f>
        <v/>
      </c>
      <c r="S213" s="21" t="str">
        <f aca="true">IF(H213="","",IF(I213="",MAX(0,TODAY()-H213),MAX(0,I213-H213)))</f>
        <v/>
      </c>
      <c r="T213" s="14" t="str">
        <f aca="false">IF(OR(H213="",I213=""),"",IF(I213&lt;=H213,"S","N"))</f>
        <v/>
      </c>
      <c r="U213" s="14" t="str">
        <f aca="false">IF(A213="","",IF(AND(N213="S",O213="S",P213="S"),"S","N"))</f>
        <v/>
      </c>
      <c r="V213" s="13"/>
      <c r="W213" s="18"/>
      <c r="X213" s="19" t="str">
        <f aca="false">IF(W213="","",W213-G213)</f>
        <v/>
      </c>
      <c r="Y213" s="14" t="str">
        <f aca="true">IF(A213="","",IF(K213=0,IF(AND(H213&lt;&gt;"",TODAY()&gt;H213),"Vencida","Pendiente"),IF(K213&lt;J213,"Parcial","Completa")))</f>
        <v/>
      </c>
      <c r="Z213" s="16"/>
      <c r="AA213" s="13"/>
      <c r="AB213" s="14" t="str">
        <f aca="false">IF(W213="","Sin factura",IF(ABS(X213)&lt;=0.01,"OK","Revisar"))</f>
        <v>Sin factura</v>
      </c>
      <c r="AC213" s="13"/>
      <c r="AD213" s="14" t="str">
        <f aca="false">IF(A213="","",IF(L213="N","Producto no conforme",IF(M213="N","Falta registro sanitario",IF(OR(Y213="Parcial",Y213="Vencida"),IF(Z213="","Reprogramar recepción","Reprogramada "&amp;TEXT(Z213,"dd/mm")),IF(Y213="Pendiente","En espera",IF(U213="N","Completar documentos",IF(AB213="Revisar","Revisar importe facturado",IF(AC213&lt;&gt;"S","Registrar en Kontrollers","OK"))))))))</f>
        <v/>
      </c>
      <c r="AE213" s="13"/>
    </row>
    <row r="214" customFormat="false" ht="15" hidden="false" customHeight="false" outlineLevel="0" collapsed="false">
      <c r="A214" s="13"/>
      <c r="B214" s="16"/>
      <c r="C214" s="13"/>
      <c r="D214" s="13"/>
      <c r="E214" s="13"/>
      <c r="F214" s="13"/>
      <c r="G214" s="18"/>
      <c r="H214" s="16"/>
      <c r="I214" s="16"/>
      <c r="J214" s="17"/>
      <c r="K214" s="17"/>
      <c r="L214" s="13"/>
      <c r="M214" s="13"/>
      <c r="N214" s="13"/>
      <c r="O214" s="13"/>
      <c r="P214" s="13"/>
      <c r="Q214" s="14" t="str">
        <f aca="false">IF(B214="","",MONTH(B214))</f>
        <v/>
      </c>
      <c r="R214" s="20" t="str">
        <f aca="false">IF(OR(J214="",J214=0),"",MIN(1,K214/J214))</f>
        <v/>
      </c>
      <c r="S214" s="21" t="str">
        <f aca="true">IF(H214="","",IF(I214="",MAX(0,TODAY()-H214),MAX(0,I214-H214)))</f>
        <v/>
      </c>
      <c r="T214" s="14" t="str">
        <f aca="false">IF(OR(H214="",I214=""),"",IF(I214&lt;=H214,"S","N"))</f>
        <v/>
      </c>
      <c r="U214" s="14" t="str">
        <f aca="false">IF(A214="","",IF(AND(N214="S",O214="S",P214="S"),"S","N"))</f>
        <v/>
      </c>
      <c r="V214" s="13"/>
      <c r="W214" s="18"/>
      <c r="X214" s="19" t="str">
        <f aca="false">IF(W214="","",W214-G214)</f>
        <v/>
      </c>
      <c r="Y214" s="14" t="str">
        <f aca="true">IF(A214="","",IF(K214=0,IF(AND(H214&lt;&gt;"",TODAY()&gt;H214),"Vencida","Pendiente"),IF(K214&lt;J214,"Parcial","Completa")))</f>
        <v/>
      </c>
      <c r="Z214" s="16"/>
      <c r="AA214" s="13"/>
      <c r="AB214" s="14" t="str">
        <f aca="false">IF(W214="","Sin factura",IF(ABS(X214)&lt;=0.01,"OK","Revisar"))</f>
        <v>Sin factura</v>
      </c>
      <c r="AC214" s="13"/>
      <c r="AD214" s="14" t="str">
        <f aca="false">IF(A214="","",IF(L214="N","Producto no conforme",IF(M214="N","Falta registro sanitario",IF(OR(Y214="Parcial",Y214="Vencida"),IF(Z214="","Reprogramar recepción","Reprogramada "&amp;TEXT(Z214,"dd/mm")),IF(Y214="Pendiente","En espera",IF(U214="N","Completar documentos",IF(AB214="Revisar","Revisar importe facturado",IF(AC214&lt;&gt;"S","Registrar en Kontrollers","OK"))))))))</f>
        <v/>
      </c>
      <c r="AE214" s="13"/>
    </row>
    <row r="215" customFormat="false" ht="15" hidden="false" customHeight="false" outlineLevel="0" collapsed="false">
      <c r="A215" s="13"/>
      <c r="B215" s="16"/>
      <c r="C215" s="13"/>
      <c r="D215" s="13"/>
      <c r="E215" s="13"/>
      <c r="F215" s="13"/>
      <c r="G215" s="18"/>
      <c r="H215" s="16"/>
      <c r="I215" s="16"/>
      <c r="J215" s="17"/>
      <c r="K215" s="17"/>
      <c r="L215" s="13"/>
      <c r="M215" s="13"/>
      <c r="N215" s="13"/>
      <c r="O215" s="13"/>
      <c r="P215" s="13"/>
      <c r="Q215" s="14" t="str">
        <f aca="false">IF(B215="","",MONTH(B215))</f>
        <v/>
      </c>
      <c r="R215" s="20" t="str">
        <f aca="false">IF(OR(J215="",J215=0),"",MIN(1,K215/J215))</f>
        <v/>
      </c>
      <c r="S215" s="21" t="str">
        <f aca="true">IF(H215="","",IF(I215="",MAX(0,TODAY()-H215),MAX(0,I215-H215)))</f>
        <v/>
      </c>
      <c r="T215" s="14" t="str">
        <f aca="false">IF(OR(H215="",I215=""),"",IF(I215&lt;=H215,"S","N"))</f>
        <v/>
      </c>
      <c r="U215" s="14" t="str">
        <f aca="false">IF(A215="","",IF(AND(N215="S",O215="S",P215="S"),"S","N"))</f>
        <v/>
      </c>
      <c r="V215" s="13"/>
      <c r="W215" s="18"/>
      <c r="X215" s="19" t="str">
        <f aca="false">IF(W215="","",W215-G215)</f>
        <v/>
      </c>
      <c r="Y215" s="14" t="str">
        <f aca="true">IF(A215="","",IF(K215=0,IF(AND(H215&lt;&gt;"",TODAY()&gt;H215),"Vencida","Pendiente"),IF(K215&lt;J215,"Parcial","Completa")))</f>
        <v/>
      </c>
      <c r="Z215" s="16"/>
      <c r="AA215" s="13"/>
      <c r="AB215" s="14" t="str">
        <f aca="false">IF(W215="","Sin factura",IF(ABS(X215)&lt;=0.01,"OK","Revisar"))</f>
        <v>Sin factura</v>
      </c>
      <c r="AC215" s="13"/>
      <c r="AD215" s="14" t="str">
        <f aca="false">IF(A215="","",IF(L215="N","Producto no conforme",IF(M215="N","Falta registro sanitario",IF(OR(Y215="Parcial",Y215="Vencida"),IF(Z215="","Reprogramar recepción","Reprogramada "&amp;TEXT(Z215,"dd/mm")),IF(Y215="Pendiente","En espera",IF(U215="N","Completar documentos",IF(AB215="Revisar","Revisar importe facturado",IF(AC215&lt;&gt;"S","Registrar en Kontrollers","OK"))))))))</f>
        <v/>
      </c>
      <c r="AE215" s="13"/>
    </row>
    <row r="216" customFormat="false" ht="15" hidden="false" customHeight="false" outlineLevel="0" collapsed="false">
      <c r="A216" s="13"/>
      <c r="B216" s="16"/>
      <c r="C216" s="13"/>
      <c r="D216" s="13"/>
      <c r="E216" s="13"/>
      <c r="F216" s="13"/>
      <c r="G216" s="18"/>
      <c r="H216" s="16"/>
      <c r="I216" s="16"/>
      <c r="J216" s="17"/>
      <c r="K216" s="17"/>
      <c r="L216" s="13"/>
      <c r="M216" s="13"/>
      <c r="N216" s="13"/>
      <c r="O216" s="13"/>
      <c r="P216" s="13"/>
      <c r="Q216" s="14" t="str">
        <f aca="false">IF(B216="","",MONTH(B216))</f>
        <v/>
      </c>
      <c r="R216" s="20" t="str">
        <f aca="false">IF(OR(J216="",J216=0),"",MIN(1,K216/J216))</f>
        <v/>
      </c>
      <c r="S216" s="21" t="str">
        <f aca="true">IF(H216="","",IF(I216="",MAX(0,TODAY()-H216),MAX(0,I216-H216)))</f>
        <v/>
      </c>
      <c r="T216" s="14" t="str">
        <f aca="false">IF(OR(H216="",I216=""),"",IF(I216&lt;=H216,"S","N"))</f>
        <v/>
      </c>
      <c r="U216" s="14" t="str">
        <f aca="false">IF(A216="","",IF(AND(N216="S",O216="S",P216="S"),"S","N"))</f>
        <v/>
      </c>
      <c r="V216" s="13"/>
      <c r="W216" s="18"/>
      <c r="X216" s="19" t="str">
        <f aca="false">IF(W216="","",W216-G216)</f>
        <v/>
      </c>
      <c r="Y216" s="14" t="str">
        <f aca="true">IF(A216="","",IF(K216=0,IF(AND(H216&lt;&gt;"",TODAY()&gt;H216),"Vencida","Pendiente"),IF(K216&lt;J216,"Parcial","Completa")))</f>
        <v/>
      </c>
      <c r="Z216" s="16"/>
      <c r="AA216" s="13"/>
      <c r="AB216" s="14" t="str">
        <f aca="false">IF(W216="","Sin factura",IF(ABS(X216)&lt;=0.01,"OK","Revisar"))</f>
        <v>Sin factura</v>
      </c>
      <c r="AC216" s="13"/>
      <c r="AD216" s="14" t="str">
        <f aca="false">IF(A216="","",IF(L216="N","Producto no conforme",IF(M216="N","Falta registro sanitario",IF(OR(Y216="Parcial",Y216="Vencida"),IF(Z216="","Reprogramar recepción","Reprogramada "&amp;TEXT(Z216,"dd/mm")),IF(Y216="Pendiente","En espera",IF(U216="N","Completar documentos",IF(AB216="Revisar","Revisar importe facturado",IF(AC216&lt;&gt;"S","Registrar en Kontrollers","OK"))))))))</f>
        <v/>
      </c>
      <c r="AE216" s="13"/>
    </row>
    <row r="217" customFormat="false" ht="15" hidden="false" customHeight="false" outlineLevel="0" collapsed="false">
      <c r="A217" s="13"/>
      <c r="B217" s="16"/>
      <c r="C217" s="13"/>
      <c r="D217" s="13"/>
      <c r="E217" s="13"/>
      <c r="F217" s="13"/>
      <c r="G217" s="18"/>
      <c r="H217" s="16"/>
      <c r="I217" s="16"/>
      <c r="J217" s="17"/>
      <c r="K217" s="17"/>
      <c r="L217" s="13"/>
      <c r="M217" s="13"/>
      <c r="N217" s="13"/>
      <c r="O217" s="13"/>
      <c r="P217" s="13"/>
      <c r="Q217" s="14" t="str">
        <f aca="false">IF(B217="","",MONTH(B217))</f>
        <v/>
      </c>
      <c r="R217" s="20" t="str">
        <f aca="false">IF(OR(J217="",J217=0),"",MIN(1,K217/J217))</f>
        <v/>
      </c>
      <c r="S217" s="21" t="str">
        <f aca="true">IF(H217="","",IF(I217="",MAX(0,TODAY()-H217),MAX(0,I217-H217)))</f>
        <v/>
      </c>
      <c r="T217" s="14" t="str">
        <f aca="false">IF(OR(H217="",I217=""),"",IF(I217&lt;=H217,"S","N"))</f>
        <v/>
      </c>
      <c r="U217" s="14" t="str">
        <f aca="false">IF(A217="","",IF(AND(N217="S",O217="S",P217="S"),"S","N"))</f>
        <v/>
      </c>
      <c r="V217" s="13"/>
      <c r="W217" s="18"/>
      <c r="X217" s="19" t="str">
        <f aca="false">IF(W217="","",W217-G217)</f>
        <v/>
      </c>
      <c r="Y217" s="14" t="str">
        <f aca="true">IF(A217="","",IF(K217=0,IF(AND(H217&lt;&gt;"",TODAY()&gt;H217),"Vencida","Pendiente"),IF(K217&lt;J217,"Parcial","Completa")))</f>
        <v/>
      </c>
      <c r="Z217" s="16"/>
      <c r="AA217" s="13"/>
      <c r="AB217" s="14" t="str">
        <f aca="false">IF(W217="","Sin factura",IF(ABS(X217)&lt;=0.01,"OK","Revisar"))</f>
        <v>Sin factura</v>
      </c>
      <c r="AC217" s="13"/>
      <c r="AD217" s="14" t="str">
        <f aca="false">IF(A217="","",IF(L217="N","Producto no conforme",IF(M217="N","Falta registro sanitario",IF(OR(Y217="Parcial",Y217="Vencida"),IF(Z217="","Reprogramar recepción","Reprogramada "&amp;TEXT(Z217,"dd/mm")),IF(Y217="Pendiente","En espera",IF(U217="N","Completar documentos",IF(AB217="Revisar","Revisar importe facturado",IF(AC217&lt;&gt;"S","Registrar en Kontrollers","OK"))))))))</f>
        <v/>
      </c>
      <c r="AE217" s="13"/>
    </row>
    <row r="218" customFormat="false" ht="15" hidden="false" customHeight="false" outlineLevel="0" collapsed="false">
      <c r="A218" s="13"/>
      <c r="B218" s="16"/>
      <c r="C218" s="13"/>
      <c r="D218" s="13"/>
      <c r="E218" s="13"/>
      <c r="F218" s="13"/>
      <c r="G218" s="18"/>
      <c r="H218" s="16"/>
      <c r="I218" s="16"/>
      <c r="J218" s="17"/>
      <c r="K218" s="17"/>
      <c r="L218" s="13"/>
      <c r="M218" s="13"/>
      <c r="N218" s="13"/>
      <c r="O218" s="13"/>
      <c r="P218" s="13"/>
      <c r="Q218" s="14" t="str">
        <f aca="false">IF(B218="","",MONTH(B218))</f>
        <v/>
      </c>
      <c r="R218" s="20" t="str">
        <f aca="false">IF(OR(J218="",J218=0),"",MIN(1,K218/J218))</f>
        <v/>
      </c>
      <c r="S218" s="21" t="str">
        <f aca="true">IF(H218="","",IF(I218="",MAX(0,TODAY()-H218),MAX(0,I218-H218)))</f>
        <v/>
      </c>
      <c r="T218" s="14" t="str">
        <f aca="false">IF(OR(H218="",I218=""),"",IF(I218&lt;=H218,"S","N"))</f>
        <v/>
      </c>
      <c r="U218" s="14" t="str">
        <f aca="false">IF(A218="","",IF(AND(N218="S",O218="S",P218="S"),"S","N"))</f>
        <v/>
      </c>
      <c r="V218" s="13"/>
      <c r="W218" s="18"/>
      <c r="X218" s="19" t="str">
        <f aca="false">IF(W218="","",W218-G218)</f>
        <v/>
      </c>
      <c r="Y218" s="14" t="str">
        <f aca="true">IF(A218="","",IF(K218=0,IF(AND(H218&lt;&gt;"",TODAY()&gt;H218),"Vencida","Pendiente"),IF(K218&lt;J218,"Parcial","Completa")))</f>
        <v/>
      </c>
      <c r="Z218" s="16"/>
      <c r="AA218" s="13"/>
      <c r="AB218" s="14" t="str">
        <f aca="false">IF(W218="","Sin factura",IF(ABS(X218)&lt;=0.01,"OK","Revisar"))</f>
        <v>Sin factura</v>
      </c>
      <c r="AC218" s="13"/>
      <c r="AD218" s="14" t="str">
        <f aca="false">IF(A218="","",IF(L218="N","Producto no conforme",IF(M218="N","Falta registro sanitario",IF(OR(Y218="Parcial",Y218="Vencida"),IF(Z218="","Reprogramar recepción","Reprogramada "&amp;TEXT(Z218,"dd/mm")),IF(Y218="Pendiente","En espera",IF(U218="N","Completar documentos",IF(AB218="Revisar","Revisar importe facturado",IF(AC218&lt;&gt;"S","Registrar en Kontrollers","OK"))))))))</f>
        <v/>
      </c>
      <c r="AE218" s="13"/>
    </row>
    <row r="219" customFormat="false" ht="15" hidden="false" customHeight="false" outlineLevel="0" collapsed="false">
      <c r="A219" s="13"/>
      <c r="B219" s="16"/>
      <c r="C219" s="13"/>
      <c r="D219" s="13"/>
      <c r="E219" s="13"/>
      <c r="F219" s="13"/>
      <c r="G219" s="18"/>
      <c r="H219" s="16"/>
      <c r="I219" s="16"/>
      <c r="J219" s="17"/>
      <c r="K219" s="17"/>
      <c r="L219" s="13"/>
      <c r="M219" s="13"/>
      <c r="N219" s="13"/>
      <c r="O219" s="13"/>
      <c r="P219" s="13"/>
      <c r="Q219" s="14" t="str">
        <f aca="false">IF(B219="","",MONTH(B219))</f>
        <v/>
      </c>
      <c r="R219" s="20" t="str">
        <f aca="false">IF(OR(J219="",J219=0),"",MIN(1,K219/J219))</f>
        <v/>
      </c>
      <c r="S219" s="21" t="str">
        <f aca="true">IF(H219="","",IF(I219="",MAX(0,TODAY()-H219),MAX(0,I219-H219)))</f>
        <v/>
      </c>
      <c r="T219" s="14" t="str">
        <f aca="false">IF(OR(H219="",I219=""),"",IF(I219&lt;=H219,"S","N"))</f>
        <v/>
      </c>
      <c r="U219" s="14" t="str">
        <f aca="false">IF(A219="","",IF(AND(N219="S",O219="S",P219="S"),"S","N"))</f>
        <v/>
      </c>
      <c r="V219" s="13"/>
      <c r="W219" s="18"/>
      <c r="X219" s="19" t="str">
        <f aca="false">IF(W219="","",W219-G219)</f>
        <v/>
      </c>
      <c r="Y219" s="14" t="str">
        <f aca="true">IF(A219="","",IF(K219=0,IF(AND(H219&lt;&gt;"",TODAY()&gt;H219),"Vencida","Pendiente"),IF(K219&lt;J219,"Parcial","Completa")))</f>
        <v/>
      </c>
      <c r="Z219" s="16"/>
      <c r="AA219" s="13"/>
      <c r="AB219" s="14" t="str">
        <f aca="false">IF(W219="","Sin factura",IF(ABS(X219)&lt;=0.01,"OK","Revisar"))</f>
        <v>Sin factura</v>
      </c>
      <c r="AC219" s="13"/>
      <c r="AD219" s="14" t="str">
        <f aca="false">IF(A219="","",IF(L219="N","Producto no conforme",IF(M219="N","Falta registro sanitario",IF(OR(Y219="Parcial",Y219="Vencida"),IF(Z219="","Reprogramar recepción","Reprogramada "&amp;TEXT(Z219,"dd/mm")),IF(Y219="Pendiente","En espera",IF(U219="N","Completar documentos",IF(AB219="Revisar","Revisar importe facturado",IF(AC219&lt;&gt;"S","Registrar en Kontrollers","OK"))))))))</f>
        <v/>
      </c>
      <c r="AE219" s="13"/>
    </row>
    <row r="220" customFormat="false" ht="15" hidden="false" customHeight="false" outlineLevel="0" collapsed="false">
      <c r="A220" s="13"/>
      <c r="B220" s="16"/>
      <c r="C220" s="13"/>
      <c r="D220" s="13"/>
      <c r="E220" s="13"/>
      <c r="F220" s="13"/>
      <c r="G220" s="18"/>
      <c r="H220" s="16"/>
      <c r="I220" s="16"/>
      <c r="J220" s="17"/>
      <c r="K220" s="17"/>
      <c r="L220" s="13"/>
      <c r="M220" s="13"/>
      <c r="N220" s="13"/>
      <c r="O220" s="13"/>
      <c r="P220" s="13"/>
      <c r="Q220" s="14" t="str">
        <f aca="false">IF(B220="","",MONTH(B220))</f>
        <v/>
      </c>
      <c r="R220" s="20" t="str">
        <f aca="false">IF(OR(J220="",J220=0),"",MIN(1,K220/J220))</f>
        <v/>
      </c>
      <c r="S220" s="21" t="str">
        <f aca="true">IF(H220="","",IF(I220="",MAX(0,TODAY()-H220),MAX(0,I220-H220)))</f>
        <v/>
      </c>
      <c r="T220" s="14" t="str">
        <f aca="false">IF(OR(H220="",I220=""),"",IF(I220&lt;=H220,"S","N"))</f>
        <v/>
      </c>
      <c r="U220" s="14" t="str">
        <f aca="false">IF(A220="","",IF(AND(N220="S",O220="S",P220="S"),"S","N"))</f>
        <v/>
      </c>
      <c r="V220" s="13"/>
      <c r="W220" s="18"/>
      <c r="X220" s="19" t="str">
        <f aca="false">IF(W220="","",W220-G220)</f>
        <v/>
      </c>
      <c r="Y220" s="14" t="str">
        <f aca="true">IF(A220="","",IF(K220=0,IF(AND(H220&lt;&gt;"",TODAY()&gt;H220),"Vencida","Pendiente"),IF(K220&lt;J220,"Parcial","Completa")))</f>
        <v/>
      </c>
      <c r="Z220" s="16"/>
      <c r="AA220" s="13"/>
      <c r="AB220" s="14" t="str">
        <f aca="false">IF(W220="","Sin factura",IF(ABS(X220)&lt;=0.01,"OK","Revisar"))</f>
        <v>Sin factura</v>
      </c>
      <c r="AC220" s="13"/>
      <c r="AD220" s="14" t="str">
        <f aca="false">IF(A220="","",IF(L220="N","Producto no conforme",IF(M220="N","Falta registro sanitario",IF(OR(Y220="Parcial",Y220="Vencida"),IF(Z220="","Reprogramar recepción","Reprogramada "&amp;TEXT(Z220,"dd/mm")),IF(Y220="Pendiente","En espera",IF(U220="N","Completar documentos",IF(AB220="Revisar","Revisar importe facturado",IF(AC220&lt;&gt;"S","Registrar en Kontrollers","OK"))))))))</f>
        <v/>
      </c>
      <c r="AE220" s="13"/>
    </row>
    <row r="221" customFormat="false" ht="15" hidden="false" customHeight="false" outlineLevel="0" collapsed="false">
      <c r="A221" s="13"/>
      <c r="B221" s="16"/>
      <c r="C221" s="13"/>
      <c r="D221" s="13"/>
      <c r="E221" s="13"/>
      <c r="F221" s="13"/>
      <c r="G221" s="18"/>
      <c r="H221" s="16"/>
      <c r="I221" s="16"/>
      <c r="J221" s="17"/>
      <c r="K221" s="17"/>
      <c r="L221" s="13"/>
      <c r="M221" s="13"/>
      <c r="N221" s="13"/>
      <c r="O221" s="13"/>
      <c r="P221" s="13"/>
      <c r="Q221" s="14" t="str">
        <f aca="false">IF(B221="","",MONTH(B221))</f>
        <v/>
      </c>
      <c r="R221" s="20" t="str">
        <f aca="false">IF(OR(J221="",J221=0),"",MIN(1,K221/J221))</f>
        <v/>
      </c>
      <c r="S221" s="21" t="str">
        <f aca="true">IF(H221="","",IF(I221="",MAX(0,TODAY()-H221),MAX(0,I221-H221)))</f>
        <v/>
      </c>
      <c r="T221" s="14" t="str">
        <f aca="false">IF(OR(H221="",I221=""),"",IF(I221&lt;=H221,"S","N"))</f>
        <v/>
      </c>
      <c r="U221" s="14" t="str">
        <f aca="false">IF(A221="","",IF(AND(N221="S",O221="S",P221="S"),"S","N"))</f>
        <v/>
      </c>
      <c r="V221" s="13"/>
      <c r="W221" s="18"/>
      <c r="X221" s="19" t="str">
        <f aca="false">IF(W221="","",W221-G221)</f>
        <v/>
      </c>
      <c r="Y221" s="14" t="str">
        <f aca="true">IF(A221="","",IF(K221=0,IF(AND(H221&lt;&gt;"",TODAY()&gt;H221),"Vencida","Pendiente"),IF(K221&lt;J221,"Parcial","Completa")))</f>
        <v/>
      </c>
      <c r="Z221" s="16"/>
      <c r="AA221" s="13"/>
      <c r="AB221" s="14" t="str">
        <f aca="false">IF(W221="","Sin factura",IF(ABS(X221)&lt;=0.01,"OK","Revisar"))</f>
        <v>Sin factura</v>
      </c>
      <c r="AC221" s="13"/>
      <c r="AD221" s="14" t="str">
        <f aca="false">IF(A221="","",IF(L221="N","Producto no conforme",IF(M221="N","Falta registro sanitario",IF(OR(Y221="Parcial",Y221="Vencida"),IF(Z221="","Reprogramar recepción","Reprogramada "&amp;TEXT(Z221,"dd/mm")),IF(Y221="Pendiente","En espera",IF(U221="N","Completar documentos",IF(AB221="Revisar","Revisar importe facturado",IF(AC221&lt;&gt;"S","Registrar en Kontrollers","OK"))))))))</f>
        <v/>
      </c>
      <c r="AE221" s="13"/>
    </row>
    <row r="222" customFormat="false" ht="15" hidden="false" customHeight="false" outlineLevel="0" collapsed="false">
      <c r="A222" s="13"/>
      <c r="B222" s="16"/>
      <c r="C222" s="13"/>
      <c r="D222" s="13"/>
      <c r="E222" s="13"/>
      <c r="F222" s="13"/>
      <c r="G222" s="18"/>
      <c r="H222" s="16"/>
      <c r="I222" s="16"/>
      <c r="J222" s="17"/>
      <c r="K222" s="17"/>
      <c r="L222" s="13"/>
      <c r="M222" s="13"/>
      <c r="N222" s="13"/>
      <c r="O222" s="13"/>
      <c r="P222" s="13"/>
      <c r="Q222" s="14" t="str">
        <f aca="false">IF(B222="","",MONTH(B222))</f>
        <v/>
      </c>
      <c r="R222" s="20" t="str">
        <f aca="false">IF(OR(J222="",J222=0),"",MIN(1,K222/J222))</f>
        <v/>
      </c>
      <c r="S222" s="21" t="str">
        <f aca="true">IF(H222="","",IF(I222="",MAX(0,TODAY()-H222),MAX(0,I222-H222)))</f>
        <v/>
      </c>
      <c r="T222" s="14" t="str">
        <f aca="false">IF(OR(H222="",I222=""),"",IF(I222&lt;=H222,"S","N"))</f>
        <v/>
      </c>
      <c r="U222" s="14" t="str">
        <f aca="false">IF(A222="","",IF(AND(N222="S",O222="S",P222="S"),"S","N"))</f>
        <v/>
      </c>
      <c r="V222" s="13"/>
      <c r="W222" s="18"/>
      <c r="X222" s="19" t="str">
        <f aca="false">IF(W222="","",W222-G222)</f>
        <v/>
      </c>
      <c r="Y222" s="14" t="str">
        <f aca="true">IF(A222="","",IF(K222=0,IF(AND(H222&lt;&gt;"",TODAY()&gt;H222),"Vencida","Pendiente"),IF(K222&lt;J222,"Parcial","Completa")))</f>
        <v/>
      </c>
      <c r="Z222" s="16"/>
      <c r="AA222" s="13"/>
      <c r="AB222" s="14" t="str">
        <f aca="false">IF(W222="","Sin factura",IF(ABS(X222)&lt;=0.01,"OK","Revisar"))</f>
        <v>Sin factura</v>
      </c>
      <c r="AC222" s="13"/>
      <c r="AD222" s="14" t="str">
        <f aca="false">IF(A222="","",IF(L222="N","Producto no conforme",IF(M222="N","Falta registro sanitario",IF(OR(Y222="Parcial",Y222="Vencida"),IF(Z222="","Reprogramar recepción","Reprogramada "&amp;TEXT(Z222,"dd/mm")),IF(Y222="Pendiente","En espera",IF(U222="N","Completar documentos",IF(AB222="Revisar","Revisar importe facturado",IF(AC222&lt;&gt;"S","Registrar en Kontrollers","OK"))))))))</f>
        <v/>
      </c>
      <c r="AE222" s="13"/>
    </row>
    <row r="223" customFormat="false" ht="15" hidden="false" customHeight="false" outlineLevel="0" collapsed="false">
      <c r="A223" s="13"/>
      <c r="B223" s="16"/>
      <c r="C223" s="13"/>
      <c r="D223" s="13"/>
      <c r="E223" s="13"/>
      <c r="F223" s="13"/>
      <c r="G223" s="18"/>
      <c r="H223" s="16"/>
      <c r="I223" s="16"/>
      <c r="J223" s="17"/>
      <c r="K223" s="17"/>
      <c r="L223" s="13"/>
      <c r="M223" s="13"/>
      <c r="N223" s="13"/>
      <c r="O223" s="13"/>
      <c r="P223" s="13"/>
      <c r="Q223" s="14" t="str">
        <f aca="false">IF(B223="","",MONTH(B223))</f>
        <v/>
      </c>
      <c r="R223" s="20" t="str">
        <f aca="false">IF(OR(J223="",J223=0),"",MIN(1,K223/J223))</f>
        <v/>
      </c>
      <c r="S223" s="21" t="str">
        <f aca="true">IF(H223="","",IF(I223="",MAX(0,TODAY()-H223),MAX(0,I223-H223)))</f>
        <v/>
      </c>
      <c r="T223" s="14" t="str">
        <f aca="false">IF(OR(H223="",I223=""),"",IF(I223&lt;=H223,"S","N"))</f>
        <v/>
      </c>
      <c r="U223" s="14" t="str">
        <f aca="false">IF(A223="","",IF(AND(N223="S",O223="S",P223="S"),"S","N"))</f>
        <v/>
      </c>
      <c r="V223" s="13"/>
      <c r="W223" s="18"/>
      <c r="X223" s="19" t="str">
        <f aca="false">IF(W223="","",W223-G223)</f>
        <v/>
      </c>
      <c r="Y223" s="14" t="str">
        <f aca="true">IF(A223="","",IF(K223=0,IF(AND(H223&lt;&gt;"",TODAY()&gt;H223),"Vencida","Pendiente"),IF(K223&lt;J223,"Parcial","Completa")))</f>
        <v/>
      </c>
      <c r="Z223" s="16"/>
      <c r="AA223" s="13"/>
      <c r="AB223" s="14" t="str">
        <f aca="false">IF(W223="","Sin factura",IF(ABS(X223)&lt;=0.01,"OK","Revisar"))</f>
        <v>Sin factura</v>
      </c>
      <c r="AC223" s="13"/>
      <c r="AD223" s="14" t="str">
        <f aca="false">IF(A223="","",IF(L223="N","Producto no conforme",IF(M223="N","Falta registro sanitario",IF(OR(Y223="Parcial",Y223="Vencida"),IF(Z223="","Reprogramar recepción","Reprogramada "&amp;TEXT(Z223,"dd/mm")),IF(Y223="Pendiente","En espera",IF(U223="N","Completar documentos",IF(AB223="Revisar","Revisar importe facturado",IF(AC223&lt;&gt;"S","Registrar en Kontrollers","OK"))))))))</f>
        <v/>
      </c>
      <c r="AE223" s="13"/>
    </row>
    <row r="224" customFormat="false" ht="15" hidden="false" customHeight="false" outlineLevel="0" collapsed="false">
      <c r="A224" s="13"/>
      <c r="B224" s="16"/>
      <c r="C224" s="13"/>
      <c r="D224" s="13"/>
      <c r="E224" s="13"/>
      <c r="F224" s="13"/>
      <c r="G224" s="18"/>
      <c r="H224" s="16"/>
      <c r="I224" s="16"/>
      <c r="J224" s="17"/>
      <c r="K224" s="17"/>
      <c r="L224" s="13"/>
      <c r="M224" s="13"/>
      <c r="N224" s="13"/>
      <c r="O224" s="13"/>
      <c r="P224" s="13"/>
      <c r="Q224" s="14" t="str">
        <f aca="false">IF(B224="","",MONTH(B224))</f>
        <v/>
      </c>
      <c r="R224" s="20" t="str">
        <f aca="false">IF(OR(J224="",J224=0),"",MIN(1,K224/J224))</f>
        <v/>
      </c>
      <c r="S224" s="21" t="str">
        <f aca="true">IF(H224="","",IF(I224="",MAX(0,TODAY()-H224),MAX(0,I224-H224)))</f>
        <v/>
      </c>
      <c r="T224" s="14" t="str">
        <f aca="false">IF(OR(H224="",I224=""),"",IF(I224&lt;=H224,"S","N"))</f>
        <v/>
      </c>
      <c r="U224" s="14" t="str">
        <f aca="false">IF(A224="","",IF(AND(N224="S",O224="S",P224="S"),"S","N"))</f>
        <v/>
      </c>
      <c r="V224" s="13"/>
      <c r="W224" s="18"/>
      <c r="X224" s="19" t="str">
        <f aca="false">IF(W224="","",W224-G224)</f>
        <v/>
      </c>
      <c r="Y224" s="14" t="str">
        <f aca="true">IF(A224="","",IF(K224=0,IF(AND(H224&lt;&gt;"",TODAY()&gt;H224),"Vencida","Pendiente"),IF(K224&lt;J224,"Parcial","Completa")))</f>
        <v/>
      </c>
      <c r="Z224" s="16"/>
      <c r="AA224" s="13"/>
      <c r="AB224" s="14" t="str">
        <f aca="false">IF(W224="","Sin factura",IF(ABS(X224)&lt;=0.01,"OK","Revisar"))</f>
        <v>Sin factura</v>
      </c>
      <c r="AC224" s="13"/>
      <c r="AD224" s="14" t="str">
        <f aca="false">IF(A224="","",IF(L224="N","Producto no conforme",IF(M224="N","Falta registro sanitario",IF(OR(Y224="Parcial",Y224="Vencida"),IF(Z224="","Reprogramar recepción","Reprogramada "&amp;TEXT(Z224,"dd/mm")),IF(Y224="Pendiente","En espera",IF(U224="N","Completar documentos",IF(AB224="Revisar","Revisar importe facturado",IF(AC224&lt;&gt;"S","Registrar en Kontrollers","OK"))))))))</f>
        <v/>
      </c>
      <c r="AE224" s="13"/>
    </row>
    <row r="225" customFormat="false" ht="15" hidden="false" customHeight="false" outlineLevel="0" collapsed="false">
      <c r="A225" s="13"/>
      <c r="B225" s="16"/>
      <c r="C225" s="13"/>
      <c r="D225" s="13"/>
      <c r="E225" s="13"/>
      <c r="F225" s="13"/>
      <c r="G225" s="18"/>
      <c r="H225" s="16"/>
      <c r="I225" s="16"/>
      <c r="J225" s="17"/>
      <c r="K225" s="17"/>
      <c r="L225" s="13"/>
      <c r="M225" s="13"/>
      <c r="N225" s="13"/>
      <c r="O225" s="13"/>
      <c r="P225" s="13"/>
      <c r="Q225" s="14" t="str">
        <f aca="false">IF(B225="","",MONTH(B225))</f>
        <v/>
      </c>
      <c r="R225" s="20" t="str">
        <f aca="false">IF(OR(J225="",J225=0),"",MIN(1,K225/J225))</f>
        <v/>
      </c>
      <c r="S225" s="21" t="str">
        <f aca="true">IF(H225="","",IF(I225="",MAX(0,TODAY()-H225),MAX(0,I225-H225)))</f>
        <v/>
      </c>
      <c r="T225" s="14" t="str">
        <f aca="false">IF(OR(H225="",I225=""),"",IF(I225&lt;=H225,"S","N"))</f>
        <v/>
      </c>
      <c r="U225" s="14" t="str">
        <f aca="false">IF(A225="","",IF(AND(N225="S",O225="S",P225="S"),"S","N"))</f>
        <v/>
      </c>
      <c r="V225" s="13"/>
      <c r="W225" s="18"/>
      <c r="X225" s="19" t="str">
        <f aca="false">IF(W225="","",W225-G225)</f>
        <v/>
      </c>
      <c r="Y225" s="14" t="str">
        <f aca="true">IF(A225="","",IF(K225=0,IF(AND(H225&lt;&gt;"",TODAY()&gt;H225),"Vencida","Pendiente"),IF(K225&lt;J225,"Parcial","Completa")))</f>
        <v/>
      </c>
      <c r="Z225" s="16"/>
      <c r="AA225" s="13"/>
      <c r="AB225" s="14" t="str">
        <f aca="false">IF(W225="","Sin factura",IF(ABS(X225)&lt;=0.01,"OK","Revisar"))</f>
        <v>Sin factura</v>
      </c>
      <c r="AC225" s="13"/>
      <c r="AD225" s="14" t="str">
        <f aca="false">IF(A225="","",IF(L225="N","Producto no conforme",IF(M225="N","Falta registro sanitario",IF(OR(Y225="Parcial",Y225="Vencida"),IF(Z225="","Reprogramar recepción","Reprogramada "&amp;TEXT(Z225,"dd/mm")),IF(Y225="Pendiente","En espera",IF(U225="N","Completar documentos",IF(AB225="Revisar","Revisar importe facturado",IF(AC225&lt;&gt;"S","Registrar en Kontrollers","OK"))))))))</f>
        <v/>
      </c>
      <c r="AE225" s="13"/>
    </row>
    <row r="226" customFormat="false" ht="15" hidden="false" customHeight="false" outlineLevel="0" collapsed="false">
      <c r="A226" s="13"/>
      <c r="B226" s="16"/>
      <c r="C226" s="13"/>
      <c r="D226" s="13"/>
      <c r="E226" s="13"/>
      <c r="F226" s="13"/>
      <c r="G226" s="18"/>
      <c r="H226" s="16"/>
      <c r="I226" s="16"/>
      <c r="J226" s="17"/>
      <c r="K226" s="17"/>
      <c r="L226" s="13"/>
      <c r="M226" s="13"/>
      <c r="N226" s="13"/>
      <c r="O226" s="13"/>
      <c r="P226" s="13"/>
      <c r="Q226" s="14" t="str">
        <f aca="false">IF(B226="","",MONTH(B226))</f>
        <v/>
      </c>
      <c r="R226" s="20" t="str">
        <f aca="false">IF(OR(J226="",J226=0),"",MIN(1,K226/J226))</f>
        <v/>
      </c>
      <c r="S226" s="21" t="str">
        <f aca="true">IF(H226="","",IF(I226="",MAX(0,TODAY()-H226),MAX(0,I226-H226)))</f>
        <v/>
      </c>
      <c r="T226" s="14" t="str">
        <f aca="false">IF(OR(H226="",I226=""),"",IF(I226&lt;=H226,"S","N"))</f>
        <v/>
      </c>
      <c r="U226" s="14" t="str">
        <f aca="false">IF(A226="","",IF(AND(N226="S",O226="S",P226="S"),"S","N"))</f>
        <v/>
      </c>
      <c r="V226" s="13"/>
      <c r="W226" s="18"/>
      <c r="X226" s="19" t="str">
        <f aca="false">IF(W226="","",W226-G226)</f>
        <v/>
      </c>
      <c r="Y226" s="14" t="str">
        <f aca="true">IF(A226="","",IF(K226=0,IF(AND(H226&lt;&gt;"",TODAY()&gt;H226),"Vencida","Pendiente"),IF(K226&lt;J226,"Parcial","Completa")))</f>
        <v/>
      </c>
      <c r="Z226" s="16"/>
      <c r="AA226" s="13"/>
      <c r="AB226" s="14" t="str">
        <f aca="false">IF(W226="","Sin factura",IF(ABS(X226)&lt;=0.01,"OK","Revisar"))</f>
        <v>Sin factura</v>
      </c>
      <c r="AC226" s="13"/>
      <c r="AD226" s="14" t="str">
        <f aca="false">IF(A226="","",IF(L226="N","Producto no conforme",IF(M226="N","Falta registro sanitario",IF(OR(Y226="Parcial",Y226="Vencida"),IF(Z226="","Reprogramar recepción","Reprogramada "&amp;TEXT(Z226,"dd/mm")),IF(Y226="Pendiente","En espera",IF(U226="N","Completar documentos",IF(AB226="Revisar","Revisar importe facturado",IF(AC226&lt;&gt;"S","Registrar en Kontrollers","OK"))))))))</f>
        <v/>
      </c>
      <c r="AE226" s="13"/>
    </row>
    <row r="227" customFormat="false" ht="15" hidden="false" customHeight="false" outlineLevel="0" collapsed="false">
      <c r="A227" s="13"/>
      <c r="B227" s="16"/>
      <c r="C227" s="13"/>
      <c r="D227" s="13"/>
      <c r="E227" s="13"/>
      <c r="F227" s="13"/>
      <c r="G227" s="18"/>
      <c r="H227" s="16"/>
      <c r="I227" s="16"/>
      <c r="J227" s="17"/>
      <c r="K227" s="17"/>
      <c r="L227" s="13"/>
      <c r="M227" s="13"/>
      <c r="N227" s="13"/>
      <c r="O227" s="13"/>
      <c r="P227" s="13"/>
      <c r="Q227" s="14" t="str">
        <f aca="false">IF(B227="","",MONTH(B227))</f>
        <v/>
      </c>
      <c r="R227" s="20" t="str">
        <f aca="false">IF(OR(J227="",J227=0),"",MIN(1,K227/J227))</f>
        <v/>
      </c>
      <c r="S227" s="21" t="str">
        <f aca="true">IF(H227="","",IF(I227="",MAX(0,TODAY()-H227),MAX(0,I227-H227)))</f>
        <v/>
      </c>
      <c r="T227" s="14" t="str">
        <f aca="false">IF(OR(H227="",I227=""),"",IF(I227&lt;=H227,"S","N"))</f>
        <v/>
      </c>
      <c r="U227" s="14" t="str">
        <f aca="false">IF(A227="","",IF(AND(N227="S",O227="S",P227="S"),"S","N"))</f>
        <v/>
      </c>
      <c r="V227" s="13"/>
      <c r="W227" s="18"/>
      <c r="X227" s="19" t="str">
        <f aca="false">IF(W227="","",W227-G227)</f>
        <v/>
      </c>
      <c r="Y227" s="14" t="str">
        <f aca="true">IF(A227="","",IF(K227=0,IF(AND(H227&lt;&gt;"",TODAY()&gt;H227),"Vencida","Pendiente"),IF(K227&lt;J227,"Parcial","Completa")))</f>
        <v/>
      </c>
      <c r="Z227" s="16"/>
      <c r="AA227" s="13"/>
      <c r="AB227" s="14" t="str">
        <f aca="false">IF(W227="","Sin factura",IF(ABS(X227)&lt;=0.01,"OK","Revisar"))</f>
        <v>Sin factura</v>
      </c>
      <c r="AC227" s="13"/>
      <c r="AD227" s="14" t="str">
        <f aca="false">IF(A227="","",IF(L227="N","Producto no conforme",IF(M227="N","Falta registro sanitario",IF(OR(Y227="Parcial",Y227="Vencida"),IF(Z227="","Reprogramar recepción","Reprogramada "&amp;TEXT(Z227,"dd/mm")),IF(Y227="Pendiente","En espera",IF(U227="N","Completar documentos",IF(AB227="Revisar","Revisar importe facturado",IF(AC227&lt;&gt;"S","Registrar en Kontrollers","OK"))))))))</f>
        <v/>
      </c>
      <c r="AE227" s="13"/>
    </row>
    <row r="228" customFormat="false" ht="15" hidden="false" customHeight="false" outlineLevel="0" collapsed="false">
      <c r="A228" s="13"/>
      <c r="B228" s="16"/>
      <c r="C228" s="13"/>
      <c r="D228" s="13"/>
      <c r="E228" s="13"/>
      <c r="F228" s="13"/>
      <c r="G228" s="18"/>
      <c r="H228" s="16"/>
      <c r="I228" s="16"/>
      <c r="J228" s="17"/>
      <c r="K228" s="17"/>
      <c r="L228" s="13"/>
      <c r="M228" s="13"/>
      <c r="N228" s="13"/>
      <c r="O228" s="13"/>
      <c r="P228" s="13"/>
      <c r="Q228" s="14" t="str">
        <f aca="false">IF(B228="","",MONTH(B228))</f>
        <v/>
      </c>
      <c r="R228" s="20" t="str">
        <f aca="false">IF(OR(J228="",J228=0),"",MIN(1,K228/J228))</f>
        <v/>
      </c>
      <c r="S228" s="21" t="str">
        <f aca="true">IF(H228="","",IF(I228="",MAX(0,TODAY()-H228),MAX(0,I228-H228)))</f>
        <v/>
      </c>
      <c r="T228" s="14" t="str">
        <f aca="false">IF(OR(H228="",I228=""),"",IF(I228&lt;=H228,"S","N"))</f>
        <v/>
      </c>
      <c r="U228" s="14" t="str">
        <f aca="false">IF(A228="","",IF(AND(N228="S",O228="S",P228="S"),"S","N"))</f>
        <v/>
      </c>
      <c r="V228" s="13"/>
      <c r="W228" s="18"/>
      <c r="X228" s="19" t="str">
        <f aca="false">IF(W228="","",W228-G228)</f>
        <v/>
      </c>
      <c r="Y228" s="14" t="str">
        <f aca="true">IF(A228="","",IF(K228=0,IF(AND(H228&lt;&gt;"",TODAY()&gt;H228),"Vencida","Pendiente"),IF(K228&lt;J228,"Parcial","Completa")))</f>
        <v/>
      </c>
      <c r="Z228" s="16"/>
      <c r="AA228" s="13"/>
      <c r="AB228" s="14" t="str">
        <f aca="false">IF(W228="","Sin factura",IF(ABS(X228)&lt;=0.01,"OK","Revisar"))</f>
        <v>Sin factura</v>
      </c>
      <c r="AC228" s="13"/>
      <c r="AD228" s="14" t="str">
        <f aca="false">IF(A228="","",IF(L228="N","Producto no conforme",IF(M228="N","Falta registro sanitario",IF(OR(Y228="Parcial",Y228="Vencida"),IF(Z228="","Reprogramar recepción","Reprogramada "&amp;TEXT(Z228,"dd/mm")),IF(Y228="Pendiente","En espera",IF(U228="N","Completar documentos",IF(AB228="Revisar","Revisar importe facturado",IF(AC228&lt;&gt;"S","Registrar en Kontrollers","OK"))))))))</f>
        <v/>
      </c>
      <c r="AE228" s="13"/>
    </row>
    <row r="229" customFormat="false" ht="15" hidden="false" customHeight="false" outlineLevel="0" collapsed="false">
      <c r="A229" s="13"/>
      <c r="B229" s="16"/>
      <c r="C229" s="13"/>
      <c r="D229" s="13"/>
      <c r="E229" s="13"/>
      <c r="F229" s="13"/>
      <c r="G229" s="18"/>
      <c r="H229" s="16"/>
      <c r="I229" s="16"/>
      <c r="J229" s="17"/>
      <c r="K229" s="17"/>
      <c r="L229" s="13"/>
      <c r="M229" s="13"/>
      <c r="N229" s="13"/>
      <c r="O229" s="13"/>
      <c r="P229" s="13"/>
      <c r="Q229" s="14" t="str">
        <f aca="false">IF(B229="","",MONTH(B229))</f>
        <v/>
      </c>
      <c r="R229" s="20" t="str">
        <f aca="false">IF(OR(J229="",J229=0),"",MIN(1,K229/J229))</f>
        <v/>
      </c>
      <c r="S229" s="21" t="str">
        <f aca="true">IF(H229="","",IF(I229="",MAX(0,TODAY()-H229),MAX(0,I229-H229)))</f>
        <v/>
      </c>
      <c r="T229" s="14" t="str">
        <f aca="false">IF(OR(H229="",I229=""),"",IF(I229&lt;=H229,"S","N"))</f>
        <v/>
      </c>
      <c r="U229" s="14" t="str">
        <f aca="false">IF(A229="","",IF(AND(N229="S",O229="S",P229="S"),"S","N"))</f>
        <v/>
      </c>
      <c r="V229" s="13"/>
      <c r="W229" s="18"/>
      <c r="X229" s="19" t="str">
        <f aca="false">IF(W229="","",W229-G229)</f>
        <v/>
      </c>
      <c r="Y229" s="14" t="str">
        <f aca="true">IF(A229="","",IF(K229=0,IF(AND(H229&lt;&gt;"",TODAY()&gt;H229),"Vencida","Pendiente"),IF(K229&lt;J229,"Parcial","Completa")))</f>
        <v/>
      </c>
      <c r="Z229" s="16"/>
      <c r="AA229" s="13"/>
      <c r="AB229" s="14" t="str">
        <f aca="false">IF(W229="","Sin factura",IF(ABS(X229)&lt;=0.01,"OK","Revisar"))</f>
        <v>Sin factura</v>
      </c>
      <c r="AC229" s="13"/>
      <c r="AD229" s="14" t="str">
        <f aca="false">IF(A229="","",IF(L229="N","Producto no conforme",IF(M229="N","Falta registro sanitario",IF(OR(Y229="Parcial",Y229="Vencida"),IF(Z229="","Reprogramar recepción","Reprogramada "&amp;TEXT(Z229,"dd/mm")),IF(Y229="Pendiente","En espera",IF(U229="N","Completar documentos",IF(AB229="Revisar","Revisar importe facturado",IF(AC229&lt;&gt;"S","Registrar en Kontrollers","OK"))))))))</f>
        <v/>
      </c>
      <c r="AE229" s="13"/>
    </row>
    <row r="230" customFormat="false" ht="15" hidden="false" customHeight="false" outlineLevel="0" collapsed="false">
      <c r="A230" s="13"/>
      <c r="B230" s="16"/>
      <c r="C230" s="13"/>
      <c r="D230" s="13"/>
      <c r="E230" s="13"/>
      <c r="F230" s="13"/>
      <c r="G230" s="18"/>
      <c r="H230" s="16"/>
      <c r="I230" s="16"/>
      <c r="J230" s="17"/>
      <c r="K230" s="17"/>
      <c r="L230" s="13"/>
      <c r="M230" s="13"/>
      <c r="N230" s="13"/>
      <c r="O230" s="13"/>
      <c r="P230" s="13"/>
      <c r="Q230" s="14" t="str">
        <f aca="false">IF(B230="","",MONTH(B230))</f>
        <v/>
      </c>
      <c r="R230" s="20" t="str">
        <f aca="false">IF(OR(J230="",J230=0),"",MIN(1,K230/J230))</f>
        <v/>
      </c>
      <c r="S230" s="21" t="str">
        <f aca="true">IF(H230="","",IF(I230="",MAX(0,TODAY()-H230),MAX(0,I230-H230)))</f>
        <v/>
      </c>
      <c r="T230" s="14" t="str">
        <f aca="false">IF(OR(H230="",I230=""),"",IF(I230&lt;=H230,"S","N"))</f>
        <v/>
      </c>
      <c r="U230" s="14" t="str">
        <f aca="false">IF(A230="","",IF(AND(N230="S",O230="S",P230="S"),"S","N"))</f>
        <v/>
      </c>
      <c r="V230" s="13"/>
      <c r="W230" s="18"/>
      <c r="X230" s="19" t="str">
        <f aca="false">IF(W230="","",W230-G230)</f>
        <v/>
      </c>
      <c r="Y230" s="14" t="str">
        <f aca="true">IF(A230="","",IF(K230=0,IF(AND(H230&lt;&gt;"",TODAY()&gt;H230),"Vencida","Pendiente"),IF(K230&lt;J230,"Parcial","Completa")))</f>
        <v/>
      </c>
      <c r="Z230" s="16"/>
      <c r="AA230" s="13"/>
      <c r="AB230" s="14" t="str">
        <f aca="false">IF(W230="","Sin factura",IF(ABS(X230)&lt;=0.01,"OK","Revisar"))</f>
        <v>Sin factura</v>
      </c>
      <c r="AC230" s="13"/>
      <c r="AD230" s="14" t="str">
        <f aca="false">IF(A230="","",IF(L230="N","Producto no conforme",IF(M230="N","Falta registro sanitario",IF(OR(Y230="Parcial",Y230="Vencida"),IF(Z230="","Reprogramar recepción","Reprogramada "&amp;TEXT(Z230,"dd/mm")),IF(Y230="Pendiente","En espera",IF(U230="N","Completar documentos",IF(AB230="Revisar","Revisar importe facturado",IF(AC230&lt;&gt;"S","Registrar en Kontrollers","OK"))))))))</f>
        <v/>
      </c>
      <c r="AE230" s="13"/>
    </row>
    <row r="231" customFormat="false" ht="15" hidden="false" customHeight="false" outlineLevel="0" collapsed="false">
      <c r="A231" s="13"/>
      <c r="B231" s="16"/>
      <c r="C231" s="13"/>
      <c r="D231" s="13"/>
      <c r="E231" s="13"/>
      <c r="F231" s="13"/>
      <c r="G231" s="18"/>
      <c r="H231" s="16"/>
      <c r="I231" s="16"/>
      <c r="J231" s="17"/>
      <c r="K231" s="17"/>
      <c r="L231" s="13"/>
      <c r="M231" s="13"/>
      <c r="N231" s="13"/>
      <c r="O231" s="13"/>
      <c r="P231" s="13"/>
      <c r="Q231" s="14" t="str">
        <f aca="false">IF(B231="","",MONTH(B231))</f>
        <v/>
      </c>
      <c r="R231" s="20" t="str">
        <f aca="false">IF(OR(J231="",J231=0),"",MIN(1,K231/J231))</f>
        <v/>
      </c>
      <c r="S231" s="21" t="str">
        <f aca="true">IF(H231="","",IF(I231="",MAX(0,TODAY()-H231),MAX(0,I231-H231)))</f>
        <v/>
      </c>
      <c r="T231" s="14" t="str">
        <f aca="false">IF(OR(H231="",I231=""),"",IF(I231&lt;=H231,"S","N"))</f>
        <v/>
      </c>
      <c r="U231" s="14" t="str">
        <f aca="false">IF(A231="","",IF(AND(N231="S",O231="S",P231="S"),"S","N"))</f>
        <v/>
      </c>
      <c r="V231" s="13"/>
      <c r="W231" s="18"/>
      <c r="X231" s="19" t="str">
        <f aca="false">IF(W231="","",W231-G231)</f>
        <v/>
      </c>
      <c r="Y231" s="14" t="str">
        <f aca="true">IF(A231="","",IF(K231=0,IF(AND(H231&lt;&gt;"",TODAY()&gt;H231),"Vencida","Pendiente"),IF(K231&lt;J231,"Parcial","Completa")))</f>
        <v/>
      </c>
      <c r="Z231" s="16"/>
      <c r="AA231" s="13"/>
      <c r="AB231" s="14" t="str">
        <f aca="false">IF(W231="","Sin factura",IF(ABS(X231)&lt;=0.01,"OK","Revisar"))</f>
        <v>Sin factura</v>
      </c>
      <c r="AC231" s="13"/>
      <c r="AD231" s="14" t="str">
        <f aca="false">IF(A231="","",IF(L231="N","Producto no conforme",IF(M231="N","Falta registro sanitario",IF(OR(Y231="Parcial",Y231="Vencida"),IF(Z231="","Reprogramar recepción","Reprogramada "&amp;TEXT(Z231,"dd/mm")),IF(Y231="Pendiente","En espera",IF(U231="N","Completar documentos",IF(AB231="Revisar","Revisar importe facturado",IF(AC231&lt;&gt;"S","Registrar en Kontrollers","OK"))))))))</f>
        <v/>
      </c>
      <c r="AE231" s="13"/>
    </row>
    <row r="232" customFormat="false" ht="15" hidden="false" customHeight="false" outlineLevel="0" collapsed="false">
      <c r="A232" s="13"/>
      <c r="B232" s="16"/>
      <c r="C232" s="13"/>
      <c r="D232" s="13"/>
      <c r="E232" s="13"/>
      <c r="F232" s="13"/>
      <c r="G232" s="18"/>
      <c r="H232" s="16"/>
      <c r="I232" s="16"/>
      <c r="J232" s="17"/>
      <c r="K232" s="17"/>
      <c r="L232" s="13"/>
      <c r="M232" s="13"/>
      <c r="N232" s="13"/>
      <c r="O232" s="13"/>
      <c r="P232" s="13"/>
      <c r="Q232" s="14" t="str">
        <f aca="false">IF(B232="","",MONTH(B232))</f>
        <v/>
      </c>
      <c r="R232" s="20" t="str">
        <f aca="false">IF(OR(J232="",J232=0),"",MIN(1,K232/J232))</f>
        <v/>
      </c>
      <c r="S232" s="21" t="str">
        <f aca="true">IF(H232="","",IF(I232="",MAX(0,TODAY()-H232),MAX(0,I232-H232)))</f>
        <v/>
      </c>
      <c r="T232" s="14" t="str">
        <f aca="false">IF(OR(H232="",I232=""),"",IF(I232&lt;=H232,"S","N"))</f>
        <v/>
      </c>
      <c r="U232" s="14" t="str">
        <f aca="false">IF(A232="","",IF(AND(N232="S",O232="S",P232="S"),"S","N"))</f>
        <v/>
      </c>
      <c r="V232" s="13"/>
      <c r="W232" s="18"/>
      <c r="X232" s="19" t="str">
        <f aca="false">IF(W232="","",W232-G232)</f>
        <v/>
      </c>
      <c r="Y232" s="14" t="str">
        <f aca="true">IF(A232="","",IF(K232=0,IF(AND(H232&lt;&gt;"",TODAY()&gt;H232),"Vencida","Pendiente"),IF(K232&lt;J232,"Parcial","Completa")))</f>
        <v/>
      </c>
      <c r="Z232" s="16"/>
      <c r="AA232" s="13"/>
      <c r="AB232" s="14" t="str">
        <f aca="false">IF(W232="","Sin factura",IF(ABS(X232)&lt;=0.01,"OK","Revisar"))</f>
        <v>Sin factura</v>
      </c>
      <c r="AC232" s="13"/>
      <c r="AD232" s="14" t="str">
        <f aca="false">IF(A232="","",IF(L232="N","Producto no conforme",IF(M232="N","Falta registro sanitario",IF(OR(Y232="Parcial",Y232="Vencida"),IF(Z232="","Reprogramar recepción","Reprogramada "&amp;TEXT(Z232,"dd/mm")),IF(Y232="Pendiente","En espera",IF(U232="N","Completar documentos",IF(AB232="Revisar","Revisar importe facturado",IF(AC232&lt;&gt;"S","Registrar en Kontrollers","OK"))))))))</f>
        <v/>
      </c>
      <c r="AE232" s="13"/>
    </row>
    <row r="233" customFormat="false" ht="15" hidden="false" customHeight="false" outlineLevel="0" collapsed="false">
      <c r="A233" s="13"/>
      <c r="B233" s="16"/>
      <c r="C233" s="13"/>
      <c r="D233" s="13"/>
      <c r="E233" s="13"/>
      <c r="F233" s="13"/>
      <c r="G233" s="18"/>
      <c r="H233" s="16"/>
      <c r="I233" s="16"/>
      <c r="J233" s="17"/>
      <c r="K233" s="17"/>
      <c r="L233" s="13"/>
      <c r="M233" s="13"/>
      <c r="N233" s="13"/>
      <c r="O233" s="13"/>
      <c r="P233" s="13"/>
      <c r="Q233" s="14" t="str">
        <f aca="false">IF(B233="","",MONTH(B233))</f>
        <v/>
      </c>
      <c r="R233" s="20" t="str">
        <f aca="false">IF(OR(J233="",J233=0),"",MIN(1,K233/J233))</f>
        <v/>
      </c>
      <c r="S233" s="21" t="str">
        <f aca="true">IF(H233="","",IF(I233="",MAX(0,TODAY()-H233),MAX(0,I233-H233)))</f>
        <v/>
      </c>
      <c r="T233" s="14" t="str">
        <f aca="false">IF(OR(H233="",I233=""),"",IF(I233&lt;=H233,"S","N"))</f>
        <v/>
      </c>
      <c r="U233" s="14" t="str">
        <f aca="false">IF(A233="","",IF(AND(N233="S",O233="S",P233="S"),"S","N"))</f>
        <v/>
      </c>
      <c r="V233" s="13"/>
      <c r="W233" s="18"/>
      <c r="X233" s="19" t="str">
        <f aca="false">IF(W233="","",W233-G233)</f>
        <v/>
      </c>
      <c r="Y233" s="14" t="str">
        <f aca="true">IF(A233="","",IF(K233=0,IF(AND(H233&lt;&gt;"",TODAY()&gt;H233),"Vencida","Pendiente"),IF(K233&lt;J233,"Parcial","Completa")))</f>
        <v/>
      </c>
      <c r="Z233" s="16"/>
      <c r="AA233" s="13"/>
      <c r="AB233" s="14" t="str">
        <f aca="false">IF(W233="","Sin factura",IF(ABS(X233)&lt;=0.01,"OK","Revisar"))</f>
        <v>Sin factura</v>
      </c>
      <c r="AC233" s="13"/>
      <c r="AD233" s="14" t="str">
        <f aca="false">IF(A233="","",IF(L233="N","Producto no conforme",IF(M233="N","Falta registro sanitario",IF(OR(Y233="Parcial",Y233="Vencida"),IF(Z233="","Reprogramar recepción","Reprogramada "&amp;TEXT(Z233,"dd/mm")),IF(Y233="Pendiente","En espera",IF(U233="N","Completar documentos",IF(AB233="Revisar","Revisar importe facturado",IF(AC233&lt;&gt;"S","Registrar en Kontrollers","OK"))))))))</f>
        <v/>
      </c>
      <c r="AE233" s="13"/>
    </row>
    <row r="234" customFormat="false" ht="15" hidden="false" customHeight="false" outlineLevel="0" collapsed="false">
      <c r="A234" s="13"/>
      <c r="B234" s="16"/>
      <c r="C234" s="13"/>
      <c r="D234" s="13"/>
      <c r="E234" s="13"/>
      <c r="F234" s="13"/>
      <c r="G234" s="18"/>
      <c r="H234" s="16"/>
      <c r="I234" s="16"/>
      <c r="J234" s="17"/>
      <c r="K234" s="17"/>
      <c r="L234" s="13"/>
      <c r="M234" s="13"/>
      <c r="N234" s="13"/>
      <c r="O234" s="13"/>
      <c r="P234" s="13"/>
      <c r="Q234" s="14" t="str">
        <f aca="false">IF(B234="","",MONTH(B234))</f>
        <v/>
      </c>
      <c r="R234" s="20" t="str">
        <f aca="false">IF(OR(J234="",J234=0),"",MIN(1,K234/J234))</f>
        <v/>
      </c>
      <c r="S234" s="21" t="str">
        <f aca="true">IF(H234="","",IF(I234="",MAX(0,TODAY()-H234),MAX(0,I234-H234)))</f>
        <v/>
      </c>
      <c r="T234" s="14" t="str">
        <f aca="false">IF(OR(H234="",I234=""),"",IF(I234&lt;=H234,"S","N"))</f>
        <v/>
      </c>
      <c r="U234" s="14" t="str">
        <f aca="false">IF(A234="","",IF(AND(N234="S",O234="S",P234="S"),"S","N"))</f>
        <v/>
      </c>
      <c r="V234" s="13"/>
      <c r="W234" s="18"/>
      <c r="X234" s="19" t="str">
        <f aca="false">IF(W234="","",W234-G234)</f>
        <v/>
      </c>
      <c r="Y234" s="14" t="str">
        <f aca="true">IF(A234="","",IF(K234=0,IF(AND(H234&lt;&gt;"",TODAY()&gt;H234),"Vencida","Pendiente"),IF(K234&lt;J234,"Parcial","Completa")))</f>
        <v/>
      </c>
      <c r="Z234" s="16"/>
      <c r="AA234" s="13"/>
      <c r="AB234" s="14" t="str">
        <f aca="false">IF(W234="","Sin factura",IF(ABS(X234)&lt;=0.01,"OK","Revisar"))</f>
        <v>Sin factura</v>
      </c>
      <c r="AC234" s="13"/>
      <c r="AD234" s="14" t="str">
        <f aca="false">IF(A234="","",IF(L234="N","Producto no conforme",IF(M234="N","Falta registro sanitario",IF(OR(Y234="Parcial",Y234="Vencida"),IF(Z234="","Reprogramar recepción","Reprogramada "&amp;TEXT(Z234,"dd/mm")),IF(Y234="Pendiente","En espera",IF(U234="N","Completar documentos",IF(AB234="Revisar","Revisar importe facturado",IF(AC234&lt;&gt;"S","Registrar en Kontrollers","OK"))))))))</f>
        <v/>
      </c>
      <c r="AE234" s="13"/>
    </row>
    <row r="235" customFormat="false" ht="15" hidden="false" customHeight="false" outlineLevel="0" collapsed="false">
      <c r="A235" s="13"/>
      <c r="B235" s="16"/>
      <c r="C235" s="13"/>
      <c r="D235" s="13"/>
      <c r="E235" s="13"/>
      <c r="F235" s="13"/>
      <c r="G235" s="18"/>
      <c r="H235" s="16"/>
      <c r="I235" s="16"/>
      <c r="J235" s="17"/>
      <c r="K235" s="17"/>
      <c r="L235" s="13"/>
      <c r="M235" s="13"/>
      <c r="N235" s="13"/>
      <c r="O235" s="13"/>
      <c r="P235" s="13"/>
      <c r="Q235" s="14" t="str">
        <f aca="false">IF(B235="","",MONTH(B235))</f>
        <v/>
      </c>
      <c r="R235" s="20" t="str">
        <f aca="false">IF(OR(J235="",J235=0),"",MIN(1,K235/J235))</f>
        <v/>
      </c>
      <c r="S235" s="21" t="str">
        <f aca="true">IF(H235="","",IF(I235="",MAX(0,TODAY()-H235),MAX(0,I235-H235)))</f>
        <v/>
      </c>
      <c r="T235" s="14" t="str">
        <f aca="false">IF(OR(H235="",I235=""),"",IF(I235&lt;=H235,"S","N"))</f>
        <v/>
      </c>
      <c r="U235" s="14" t="str">
        <f aca="false">IF(A235="","",IF(AND(N235="S",O235="S",P235="S"),"S","N"))</f>
        <v/>
      </c>
      <c r="V235" s="13"/>
      <c r="W235" s="18"/>
      <c r="X235" s="19" t="str">
        <f aca="false">IF(W235="","",W235-G235)</f>
        <v/>
      </c>
      <c r="Y235" s="14" t="str">
        <f aca="true">IF(A235="","",IF(K235=0,IF(AND(H235&lt;&gt;"",TODAY()&gt;H235),"Vencida","Pendiente"),IF(K235&lt;J235,"Parcial","Completa")))</f>
        <v/>
      </c>
      <c r="Z235" s="16"/>
      <c r="AA235" s="13"/>
      <c r="AB235" s="14" t="str">
        <f aca="false">IF(W235="","Sin factura",IF(ABS(X235)&lt;=0.01,"OK","Revisar"))</f>
        <v>Sin factura</v>
      </c>
      <c r="AC235" s="13"/>
      <c r="AD235" s="14" t="str">
        <f aca="false">IF(A235="","",IF(L235="N","Producto no conforme",IF(M235="N","Falta registro sanitario",IF(OR(Y235="Parcial",Y235="Vencida"),IF(Z235="","Reprogramar recepción","Reprogramada "&amp;TEXT(Z235,"dd/mm")),IF(Y235="Pendiente","En espera",IF(U235="N","Completar documentos",IF(AB235="Revisar","Revisar importe facturado",IF(AC235&lt;&gt;"S","Registrar en Kontrollers","OK"))))))))</f>
        <v/>
      </c>
      <c r="AE235" s="13"/>
    </row>
    <row r="236" customFormat="false" ht="15" hidden="false" customHeight="false" outlineLevel="0" collapsed="false">
      <c r="A236" s="13"/>
      <c r="B236" s="16"/>
      <c r="C236" s="13"/>
      <c r="D236" s="13"/>
      <c r="E236" s="13"/>
      <c r="F236" s="13"/>
      <c r="G236" s="18"/>
      <c r="H236" s="16"/>
      <c r="I236" s="16"/>
      <c r="J236" s="17"/>
      <c r="K236" s="17"/>
      <c r="L236" s="13"/>
      <c r="M236" s="13"/>
      <c r="N236" s="13"/>
      <c r="O236" s="13"/>
      <c r="P236" s="13"/>
      <c r="Q236" s="14" t="str">
        <f aca="false">IF(B236="","",MONTH(B236))</f>
        <v/>
      </c>
      <c r="R236" s="20" t="str">
        <f aca="false">IF(OR(J236="",J236=0),"",MIN(1,K236/J236))</f>
        <v/>
      </c>
      <c r="S236" s="21" t="str">
        <f aca="true">IF(H236="","",IF(I236="",MAX(0,TODAY()-H236),MAX(0,I236-H236)))</f>
        <v/>
      </c>
      <c r="T236" s="14" t="str">
        <f aca="false">IF(OR(H236="",I236=""),"",IF(I236&lt;=H236,"S","N"))</f>
        <v/>
      </c>
      <c r="U236" s="14" t="str">
        <f aca="false">IF(A236="","",IF(AND(N236="S",O236="S",P236="S"),"S","N"))</f>
        <v/>
      </c>
      <c r="V236" s="13"/>
      <c r="W236" s="18"/>
      <c r="X236" s="19" t="str">
        <f aca="false">IF(W236="","",W236-G236)</f>
        <v/>
      </c>
      <c r="Y236" s="14" t="str">
        <f aca="true">IF(A236="","",IF(K236=0,IF(AND(H236&lt;&gt;"",TODAY()&gt;H236),"Vencida","Pendiente"),IF(K236&lt;J236,"Parcial","Completa")))</f>
        <v/>
      </c>
      <c r="Z236" s="16"/>
      <c r="AA236" s="13"/>
      <c r="AB236" s="14" t="str">
        <f aca="false">IF(W236="","Sin factura",IF(ABS(X236)&lt;=0.01,"OK","Revisar"))</f>
        <v>Sin factura</v>
      </c>
      <c r="AC236" s="13"/>
      <c r="AD236" s="14" t="str">
        <f aca="false">IF(A236="","",IF(L236="N","Producto no conforme",IF(M236="N","Falta registro sanitario",IF(OR(Y236="Parcial",Y236="Vencida"),IF(Z236="","Reprogramar recepción","Reprogramada "&amp;TEXT(Z236,"dd/mm")),IF(Y236="Pendiente","En espera",IF(U236="N","Completar documentos",IF(AB236="Revisar","Revisar importe facturado",IF(AC236&lt;&gt;"S","Registrar en Kontrollers","OK"))))))))</f>
        <v/>
      </c>
      <c r="AE236" s="13"/>
    </row>
    <row r="237" customFormat="false" ht="15" hidden="false" customHeight="false" outlineLevel="0" collapsed="false">
      <c r="A237" s="13"/>
      <c r="B237" s="16"/>
      <c r="C237" s="13"/>
      <c r="D237" s="13"/>
      <c r="E237" s="13"/>
      <c r="F237" s="13"/>
      <c r="G237" s="18"/>
      <c r="H237" s="16"/>
      <c r="I237" s="16"/>
      <c r="J237" s="17"/>
      <c r="K237" s="17"/>
      <c r="L237" s="13"/>
      <c r="M237" s="13"/>
      <c r="N237" s="13"/>
      <c r="O237" s="13"/>
      <c r="P237" s="13"/>
      <c r="Q237" s="14" t="str">
        <f aca="false">IF(B237="","",MONTH(B237))</f>
        <v/>
      </c>
      <c r="R237" s="20" t="str">
        <f aca="false">IF(OR(J237="",J237=0),"",MIN(1,K237/J237))</f>
        <v/>
      </c>
      <c r="S237" s="21" t="str">
        <f aca="true">IF(H237="","",IF(I237="",MAX(0,TODAY()-H237),MAX(0,I237-H237)))</f>
        <v/>
      </c>
      <c r="T237" s="14" t="str">
        <f aca="false">IF(OR(H237="",I237=""),"",IF(I237&lt;=H237,"S","N"))</f>
        <v/>
      </c>
      <c r="U237" s="14" t="str">
        <f aca="false">IF(A237="","",IF(AND(N237="S",O237="S",P237="S"),"S","N"))</f>
        <v/>
      </c>
      <c r="V237" s="13"/>
      <c r="W237" s="18"/>
      <c r="X237" s="19" t="str">
        <f aca="false">IF(W237="","",W237-G237)</f>
        <v/>
      </c>
      <c r="Y237" s="14" t="str">
        <f aca="true">IF(A237="","",IF(K237=0,IF(AND(H237&lt;&gt;"",TODAY()&gt;H237),"Vencida","Pendiente"),IF(K237&lt;J237,"Parcial","Completa")))</f>
        <v/>
      </c>
      <c r="Z237" s="16"/>
      <c r="AA237" s="13"/>
      <c r="AB237" s="14" t="str">
        <f aca="false">IF(W237="","Sin factura",IF(ABS(X237)&lt;=0.01,"OK","Revisar"))</f>
        <v>Sin factura</v>
      </c>
      <c r="AC237" s="13"/>
      <c r="AD237" s="14" t="str">
        <f aca="false">IF(A237="","",IF(L237="N","Producto no conforme",IF(M237="N","Falta registro sanitario",IF(OR(Y237="Parcial",Y237="Vencida"),IF(Z237="","Reprogramar recepción","Reprogramada "&amp;TEXT(Z237,"dd/mm")),IF(Y237="Pendiente","En espera",IF(U237="N","Completar documentos",IF(AB237="Revisar","Revisar importe facturado",IF(AC237&lt;&gt;"S","Registrar en Kontrollers","OK"))))))))</f>
        <v/>
      </c>
      <c r="AE237" s="13"/>
    </row>
    <row r="238" customFormat="false" ht="15" hidden="false" customHeight="false" outlineLevel="0" collapsed="false">
      <c r="A238" s="13"/>
      <c r="B238" s="16"/>
      <c r="C238" s="13"/>
      <c r="D238" s="13"/>
      <c r="E238" s="13"/>
      <c r="F238" s="13"/>
      <c r="G238" s="18"/>
      <c r="H238" s="16"/>
      <c r="I238" s="16"/>
      <c r="J238" s="17"/>
      <c r="K238" s="17"/>
      <c r="L238" s="13"/>
      <c r="M238" s="13"/>
      <c r="N238" s="13"/>
      <c r="O238" s="13"/>
      <c r="P238" s="13"/>
      <c r="Q238" s="14" t="str">
        <f aca="false">IF(B238="","",MONTH(B238))</f>
        <v/>
      </c>
      <c r="R238" s="20" t="str">
        <f aca="false">IF(OR(J238="",J238=0),"",MIN(1,K238/J238))</f>
        <v/>
      </c>
      <c r="S238" s="21" t="str">
        <f aca="true">IF(H238="","",IF(I238="",MAX(0,TODAY()-H238),MAX(0,I238-H238)))</f>
        <v/>
      </c>
      <c r="T238" s="14" t="str">
        <f aca="false">IF(OR(H238="",I238=""),"",IF(I238&lt;=H238,"S","N"))</f>
        <v/>
      </c>
      <c r="U238" s="14" t="str">
        <f aca="false">IF(A238="","",IF(AND(N238="S",O238="S",P238="S"),"S","N"))</f>
        <v/>
      </c>
      <c r="V238" s="13"/>
      <c r="W238" s="18"/>
      <c r="X238" s="19" t="str">
        <f aca="false">IF(W238="","",W238-G238)</f>
        <v/>
      </c>
      <c r="Y238" s="14" t="str">
        <f aca="true">IF(A238="","",IF(K238=0,IF(AND(H238&lt;&gt;"",TODAY()&gt;H238),"Vencida","Pendiente"),IF(K238&lt;J238,"Parcial","Completa")))</f>
        <v/>
      </c>
      <c r="Z238" s="16"/>
      <c r="AA238" s="13"/>
      <c r="AB238" s="14" t="str">
        <f aca="false">IF(W238="","Sin factura",IF(ABS(X238)&lt;=0.01,"OK","Revisar"))</f>
        <v>Sin factura</v>
      </c>
      <c r="AC238" s="13"/>
      <c r="AD238" s="14" t="str">
        <f aca="false">IF(A238="","",IF(L238="N","Producto no conforme",IF(M238="N","Falta registro sanitario",IF(OR(Y238="Parcial",Y238="Vencida"),IF(Z238="","Reprogramar recepción","Reprogramada "&amp;TEXT(Z238,"dd/mm")),IF(Y238="Pendiente","En espera",IF(U238="N","Completar documentos",IF(AB238="Revisar","Revisar importe facturado",IF(AC238&lt;&gt;"S","Registrar en Kontrollers","OK"))))))))</f>
        <v/>
      </c>
      <c r="AE238" s="13"/>
    </row>
    <row r="239" customFormat="false" ht="15" hidden="false" customHeight="false" outlineLevel="0" collapsed="false">
      <c r="A239" s="13"/>
      <c r="B239" s="16"/>
      <c r="C239" s="13"/>
      <c r="D239" s="13"/>
      <c r="E239" s="13"/>
      <c r="F239" s="13"/>
      <c r="G239" s="18"/>
      <c r="H239" s="16"/>
      <c r="I239" s="16"/>
      <c r="J239" s="17"/>
      <c r="K239" s="17"/>
      <c r="L239" s="13"/>
      <c r="M239" s="13"/>
      <c r="N239" s="13"/>
      <c r="O239" s="13"/>
      <c r="P239" s="13"/>
      <c r="Q239" s="14" t="str">
        <f aca="false">IF(B239="","",MONTH(B239))</f>
        <v/>
      </c>
      <c r="R239" s="20" t="str">
        <f aca="false">IF(OR(J239="",J239=0),"",MIN(1,K239/J239))</f>
        <v/>
      </c>
      <c r="S239" s="21" t="str">
        <f aca="true">IF(H239="","",IF(I239="",MAX(0,TODAY()-H239),MAX(0,I239-H239)))</f>
        <v/>
      </c>
      <c r="T239" s="14" t="str">
        <f aca="false">IF(OR(H239="",I239=""),"",IF(I239&lt;=H239,"S","N"))</f>
        <v/>
      </c>
      <c r="U239" s="14" t="str">
        <f aca="false">IF(A239="","",IF(AND(N239="S",O239="S",P239="S"),"S","N"))</f>
        <v/>
      </c>
      <c r="V239" s="13"/>
      <c r="W239" s="18"/>
      <c r="X239" s="19" t="str">
        <f aca="false">IF(W239="","",W239-G239)</f>
        <v/>
      </c>
      <c r="Y239" s="14" t="str">
        <f aca="true">IF(A239="","",IF(K239=0,IF(AND(H239&lt;&gt;"",TODAY()&gt;H239),"Vencida","Pendiente"),IF(K239&lt;J239,"Parcial","Completa")))</f>
        <v/>
      </c>
      <c r="Z239" s="16"/>
      <c r="AA239" s="13"/>
      <c r="AB239" s="14" t="str">
        <f aca="false">IF(W239="","Sin factura",IF(ABS(X239)&lt;=0.01,"OK","Revisar"))</f>
        <v>Sin factura</v>
      </c>
      <c r="AC239" s="13"/>
      <c r="AD239" s="14" t="str">
        <f aca="false">IF(A239="","",IF(L239="N","Producto no conforme",IF(M239="N","Falta registro sanitario",IF(OR(Y239="Parcial",Y239="Vencida"),IF(Z239="","Reprogramar recepción","Reprogramada "&amp;TEXT(Z239,"dd/mm")),IF(Y239="Pendiente","En espera",IF(U239="N","Completar documentos",IF(AB239="Revisar","Revisar importe facturado",IF(AC239&lt;&gt;"S","Registrar en Kontrollers","OK"))))))))</f>
        <v/>
      </c>
      <c r="AE239" s="13"/>
    </row>
    <row r="240" customFormat="false" ht="15" hidden="false" customHeight="false" outlineLevel="0" collapsed="false">
      <c r="A240" s="13"/>
      <c r="B240" s="16"/>
      <c r="C240" s="13"/>
      <c r="D240" s="13"/>
      <c r="E240" s="13"/>
      <c r="F240" s="13"/>
      <c r="G240" s="18"/>
      <c r="H240" s="16"/>
      <c r="I240" s="16"/>
      <c r="J240" s="17"/>
      <c r="K240" s="17"/>
      <c r="L240" s="13"/>
      <c r="M240" s="13"/>
      <c r="N240" s="13"/>
      <c r="O240" s="13"/>
      <c r="P240" s="13"/>
      <c r="Q240" s="14" t="str">
        <f aca="false">IF(B240="","",MONTH(B240))</f>
        <v/>
      </c>
      <c r="R240" s="20" t="str">
        <f aca="false">IF(OR(J240="",J240=0),"",MIN(1,K240/J240))</f>
        <v/>
      </c>
      <c r="S240" s="21" t="str">
        <f aca="true">IF(H240="","",IF(I240="",MAX(0,TODAY()-H240),MAX(0,I240-H240)))</f>
        <v/>
      </c>
      <c r="T240" s="14" t="str">
        <f aca="false">IF(OR(H240="",I240=""),"",IF(I240&lt;=H240,"S","N"))</f>
        <v/>
      </c>
      <c r="U240" s="14" t="str">
        <f aca="false">IF(A240="","",IF(AND(N240="S",O240="S",P240="S"),"S","N"))</f>
        <v/>
      </c>
      <c r="V240" s="13"/>
      <c r="W240" s="18"/>
      <c r="X240" s="19" t="str">
        <f aca="false">IF(W240="","",W240-G240)</f>
        <v/>
      </c>
      <c r="Y240" s="14" t="str">
        <f aca="true">IF(A240="","",IF(K240=0,IF(AND(H240&lt;&gt;"",TODAY()&gt;H240),"Vencida","Pendiente"),IF(K240&lt;J240,"Parcial","Completa")))</f>
        <v/>
      </c>
      <c r="Z240" s="16"/>
      <c r="AA240" s="13"/>
      <c r="AB240" s="14" t="str">
        <f aca="false">IF(W240="","Sin factura",IF(ABS(X240)&lt;=0.01,"OK","Revisar"))</f>
        <v>Sin factura</v>
      </c>
      <c r="AC240" s="13"/>
      <c r="AD240" s="14" t="str">
        <f aca="false">IF(A240="","",IF(L240="N","Producto no conforme",IF(M240="N","Falta registro sanitario",IF(OR(Y240="Parcial",Y240="Vencida"),IF(Z240="","Reprogramar recepción","Reprogramada "&amp;TEXT(Z240,"dd/mm")),IF(Y240="Pendiente","En espera",IF(U240="N","Completar documentos",IF(AB240="Revisar","Revisar importe facturado",IF(AC240&lt;&gt;"S","Registrar en Kontrollers","OK"))))))))</f>
        <v/>
      </c>
      <c r="AE240" s="13"/>
    </row>
    <row r="241" customFormat="false" ht="15" hidden="false" customHeight="false" outlineLevel="0" collapsed="false">
      <c r="A241" s="13"/>
      <c r="B241" s="16"/>
      <c r="C241" s="13"/>
      <c r="D241" s="13"/>
      <c r="E241" s="13"/>
      <c r="F241" s="13"/>
      <c r="G241" s="18"/>
      <c r="H241" s="16"/>
      <c r="I241" s="16"/>
      <c r="J241" s="17"/>
      <c r="K241" s="17"/>
      <c r="L241" s="13"/>
      <c r="M241" s="13"/>
      <c r="N241" s="13"/>
      <c r="O241" s="13"/>
      <c r="P241" s="13"/>
      <c r="Q241" s="14" t="str">
        <f aca="false">IF(B241="","",MONTH(B241))</f>
        <v/>
      </c>
      <c r="R241" s="20" t="str">
        <f aca="false">IF(OR(J241="",J241=0),"",MIN(1,K241/J241))</f>
        <v/>
      </c>
      <c r="S241" s="21" t="str">
        <f aca="true">IF(H241="","",IF(I241="",MAX(0,TODAY()-H241),MAX(0,I241-H241)))</f>
        <v/>
      </c>
      <c r="T241" s="14" t="str">
        <f aca="false">IF(OR(H241="",I241=""),"",IF(I241&lt;=H241,"S","N"))</f>
        <v/>
      </c>
      <c r="U241" s="14" t="str">
        <f aca="false">IF(A241="","",IF(AND(N241="S",O241="S",P241="S"),"S","N"))</f>
        <v/>
      </c>
      <c r="V241" s="13"/>
      <c r="W241" s="18"/>
      <c r="X241" s="19" t="str">
        <f aca="false">IF(W241="","",W241-G241)</f>
        <v/>
      </c>
      <c r="Y241" s="14" t="str">
        <f aca="true">IF(A241="","",IF(K241=0,IF(AND(H241&lt;&gt;"",TODAY()&gt;H241),"Vencida","Pendiente"),IF(K241&lt;J241,"Parcial","Completa")))</f>
        <v/>
      </c>
      <c r="Z241" s="16"/>
      <c r="AA241" s="13"/>
      <c r="AB241" s="14" t="str">
        <f aca="false">IF(W241="","Sin factura",IF(ABS(X241)&lt;=0.01,"OK","Revisar"))</f>
        <v>Sin factura</v>
      </c>
      <c r="AC241" s="13"/>
      <c r="AD241" s="14" t="str">
        <f aca="false">IF(A241="","",IF(L241="N","Producto no conforme",IF(M241="N","Falta registro sanitario",IF(OR(Y241="Parcial",Y241="Vencida"),IF(Z241="","Reprogramar recepción","Reprogramada "&amp;TEXT(Z241,"dd/mm")),IF(Y241="Pendiente","En espera",IF(U241="N","Completar documentos",IF(AB241="Revisar","Revisar importe facturado",IF(AC241&lt;&gt;"S","Registrar en Kontrollers","OK"))))))))</f>
        <v/>
      </c>
      <c r="AE241" s="13"/>
    </row>
    <row r="242" customFormat="false" ht="15" hidden="false" customHeight="false" outlineLevel="0" collapsed="false">
      <c r="A242" s="13"/>
      <c r="B242" s="16"/>
      <c r="C242" s="13"/>
      <c r="D242" s="13"/>
      <c r="E242" s="13"/>
      <c r="F242" s="13"/>
      <c r="G242" s="18"/>
      <c r="H242" s="16"/>
      <c r="I242" s="16"/>
      <c r="J242" s="17"/>
      <c r="K242" s="17"/>
      <c r="L242" s="13"/>
      <c r="M242" s="13"/>
      <c r="N242" s="13"/>
      <c r="O242" s="13"/>
      <c r="P242" s="13"/>
      <c r="Q242" s="14" t="str">
        <f aca="false">IF(B242="","",MONTH(B242))</f>
        <v/>
      </c>
      <c r="R242" s="20" t="str">
        <f aca="false">IF(OR(J242="",J242=0),"",MIN(1,K242/J242))</f>
        <v/>
      </c>
      <c r="S242" s="21" t="str">
        <f aca="true">IF(H242="","",IF(I242="",MAX(0,TODAY()-H242),MAX(0,I242-H242)))</f>
        <v/>
      </c>
      <c r="T242" s="14" t="str">
        <f aca="false">IF(OR(H242="",I242=""),"",IF(I242&lt;=H242,"S","N"))</f>
        <v/>
      </c>
      <c r="U242" s="14" t="str">
        <f aca="false">IF(A242="","",IF(AND(N242="S",O242="S",P242="S"),"S","N"))</f>
        <v/>
      </c>
      <c r="V242" s="13"/>
      <c r="W242" s="18"/>
      <c r="X242" s="19" t="str">
        <f aca="false">IF(W242="","",W242-G242)</f>
        <v/>
      </c>
      <c r="Y242" s="14" t="str">
        <f aca="true">IF(A242="","",IF(K242=0,IF(AND(H242&lt;&gt;"",TODAY()&gt;H242),"Vencida","Pendiente"),IF(K242&lt;J242,"Parcial","Completa")))</f>
        <v/>
      </c>
      <c r="Z242" s="16"/>
      <c r="AA242" s="13"/>
      <c r="AB242" s="14" t="str">
        <f aca="false">IF(W242="","Sin factura",IF(ABS(X242)&lt;=0.01,"OK","Revisar"))</f>
        <v>Sin factura</v>
      </c>
      <c r="AC242" s="13"/>
      <c r="AD242" s="14" t="str">
        <f aca="false">IF(A242="","",IF(L242="N","Producto no conforme",IF(M242="N","Falta registro sanitario",IF(OR(Y242="Parcial",Y242="Vencida"),IF(Z242="","Reprogramar recepción","Reprogramada "&amp;TEXT(Z242,"dd/mm")),IF(Y242="Pendiente","En espera",IF(U242="N","Completar documentos",IF(AB242="Revisar","Revisar importe facturado",IF(AC242&lt;&gt;"S","Registrar en Kontrollers","OK"))))))))</f>
        <v/>
      </c>
      <c r="AE242" s="13"/>
    </row>
    <row r="243" customFormat="false" ht="15" hidden="false" customHeight="false" outlineLevel="0" collapsed="false">
      <c r="A243" s="13"/>
      <c r="B243" s="16"/>
      <c r="C243" s="13"/>
      <c r="D243" s="13"/>
      <c r="E243" s="13"/>
      <c r="F243" s="13"/>
      <c r="G243" s="18"/>
      <c r="H243" s="16"/>
      <c r="I243" s="16"/>
      <c r="J243" s="17"/>
      <c r="K243" s="17"/>
      <c r="L243" s="13"/>
      <c r="M243" s="13"/>
      <c r="N243" s="13"/>
      <c r="O243" s="13"/>
      <c r="P243" s="13"/>
      <c r="Q243" s="14" t="str">
        <f aca="false">IF(B243="","",MONTH(B243))</f>
        <v/>
      </c>
      <c r="R243" s="20" t="str">
        <f aca="false">IF(OR(J243="",J243=0),"",MIN(1,K243/J243))</f>
        <v/>
      </c>
      <c r="S243" s="21" t="str">
        <f aca="true">IF(H243="","",IF(I243="",MAX(0,TODAY()-H243),MAX(0,I243-H243)))</f>
        <v/>
      </c>
      <c r="T243" s="14" t="str">
        <f aca="false">IF(OR(H243="",I243=""),"",IF(I243&lt;=H243,"S","N"))</f>
        <v/>
      </c>
      <c r="U243" s="14" t="str">
        <f aca="false">IF(A243="","",IF(AND(N243="S",O243="S",P243="S"),"S","N"))</f>
        <v/>
      </c>
      <c r="V243" s="13"/>
      <c r="W243" s="18"/>
      <c r="X243" s="19" t="str">
        <f aca="false">IF(W243="","",W243-G243)</f>
        <v/>
      </c>
      <c r="Y243" s="14" t="str">
        <f aca="true">IF(A243="","",IF(K243=0,IF(AND(H243&lt;&gt;"",TODAY()&gt;H243),"Vencida","Pendiente"),IF(K243&lt;J243,"Parcial","Completa")))</f>
        <v/>
      </c>
      <c r="Z243" s="16"/>
      <c r="AA243" s="13"/>
      <c r="AB243" s="14" t="str">
        <f aca="false">IF(W243="","Sin factura",IF(ABS(X243)&lt;=0.01,"OK","Revisar"))</f>
        <v>Sin factura</v>
      </c>
      <c r="AC243" s="13"/>
      <c r="AD243" s="14" t="str">
        <f aca="false">IF(A243="","",IF(L243="N","Producto no conforme",IF(M243="N","Falta registro sanitario",IF(OR(Y243="Parcial",Y243="Vencida"),IF(Z243="","Reprogramar recepción","Reprogramada "&amp;TEXT(Z243,"dd/mm")),IF(Y243="Pendiente","En espera",IF(U243="N","Completar documentos",IF(AB243="Revisar","Revisar importe facturado",IF(AC243&lt;&gt;"S","Registrar en Kontrollers","OK"))))))))</f>
        <v/>
      </c>
      <c r="AE243" s="13"/>
    </row>
    <row r="244" customFormat="false" ht="15" hidden="false" customHeight="false" outlineLevel="0" collapsed="false">
      <c r="A244" s="13"/>
      <c r="B244" s="16"/>
      <c r="C244" s="13"/>
      <c r="D244" s="13"/>
      <c r="E244" s="13"/>
      <c r="F244" s="13"/>
      <c r="G244" s="18"/>
      <c r="H244" s="16"/>
      <c r="I244" s="16"/>
      <c r="J244" s="17"/>
      <c r="K244" s="17"/>
      <c r="L244" s="13"/>
      <c r="M244" s="13"/>
      <c r="N244" s="13"/>
      <c r="O244" s="13"/>
      <c r="P244" s="13"/>
      <c r="Q244" s="14" t="str">
        <f aca="false">IF(B244="","",MONTH(B244))</f>
        <v/>
      </c>
      <c r="R244" s="20" t="str">
        <f aca="false">IF(OR(J244="",J244=0),"",MIN(1,K244/J244))</f>
        <v/>
      </c>
      <c r="S244" s="21" t="str">
        <f aca="true">IF(H244="","",IF(I244="",MAX(0,TODAY()-H244),MAX(0,I244-H244)))</f>
        <v/>
      </c>
      <c r="T244" s="14" t="str">
        <f aca="false">IF(OR(H244="",I244=""),"",IF(I244&lt;=H244,"S","N"))</f>
        <v/>
      </c>
      <c r="U244" s="14" t="str">
        <f aca="false">IF(A244="","",IF(AND(N244="S",O244="S",P244="S"),"S","N"))</f>
        <v/>
      </c>
      <c r="V244" s="13"/>
      <c r="W244" s="18"/>
      <c r="X244" s="19" t="str">
        <f aca="false">IF(W244="","",W244-G244)</f>
        <v/>
      </c>
      <c r="Y244" s="14" t="str">
        <f aca="true">IF(A244="","",IF(K244=0,IF(AND(H244&lt;&gt;"",TODAY()&gt;H244),"Vencida","Pendiente"),IF(K244&lt;J244,"Parcial","Completa")))</f>
        <v/>
      </c>
      <c r="Z244" s="16"/>
      <c r="AA244" s="13"/>
      <c r="AB244" s="14" t="str">
        <f aca="false">IF(W244="","Sin factura",IF(ABS(X244)&lt;=0.01,"OK","Revisar"))</f>
        <v>Sin factura</v>
      </c>
      <c r="AC244" s="13"/>
      <c r="AD244" s="14" t="str">
        <f aca="false">IF(A244="","",IF(L244="N","Producto no conforme",IF(M244="N","Falta registro sanitario",IF(OR(Y244="Parcial",Y244="Vencida"),IF(Z244="","Reprogramar recepción","Reprogramada "&amp;TEXT(Z244,"dd/mm")),IF(Y244="Pendiente","En espera",IF(U244="N","Completar documentos",IF(AB244="Revisar","Revisar importe facturado",IF(AC244&lt;&gt;"S","Registrar en Kontrollers","OK"))))))))</f>
        <v/>
      </c>
      <c r="AE244" s="13"/>
    </row>
    <row r="245" customFormat="false" ht="15" hidden="false" customHeight="false" outlineLevel="0" collapsed="false">
      <c r="A245" s="13"/>
      <c r="B245" s="16"/>
      <c r="C245" s="13"/>
      <c r="D245" s="13"/>
      <c r="E245" s="13"/>
      <c r="F245" s="13"/>
      <c r="G245" s="18"/>
      <c r="H245" s="16"/>
      <c r="I245" s="16"/>
      <c r="J245" s="17"/>
      <c r="K245" s="17"/>
      <c r="L245" s="13"/>
      <c r="M245" s="13"/>
      <c r="N245" s="13"/>
      <c r="O245" s="13"/>
      <c r="P245" s="13"/>
      <c r="Q245" s="14" t="str">
        <f aca="false">IF(B245="","",MONTH(B245))</f>
        <v/>
      </c>
      <c r="R245" s="20" t="str">
        <f aca="false">IF(OR(J245="",J245=0),"",MIN(1,K245/J245))</f>
        <v/>
      </c>
      <c r="S245" s="21" t="str">
        <f aca="true">IF(H245="","",IF(I245="",MAX(0,TODAY()-H245),MAX(0,I245-H245)))</f>
        <v/>
      </c>
      <c r="T245" s="14" t="str">
        <f aca="false">IF(OR(H245="",I245=""),"",IF(I245&lt;=H245,"S","N"))</f>
        <v/>
      </c>
      <c r="U245" s="14" t="str">
        <f aca="false">IF(A245="","",IF(AND(N245="S",O245="S",P245="S"),"S","N"))</f>
        <v/>
      </c>
      <c r="V245" s="13"/>
      <c r="W245" s="18"/>
      <c r="X245" s="19" t="str">
        <f aca="false">IF(W245="","",W245-G245)</f>
        <v/>
      </c>
      <c r="Y245" s="14" t="str">
        <f aca="true">IF(A245="","",IF(K245=0,IF(AND(H245&lt;&gt;"",TODAY()&gt;H245),"Vencida","Pendiente"),IF(K245&lt;J245,"Parcial","Completa")))</f>
        <v/>
      </c>
      <c r="Z245" s="16"/>
      <c r="AA245" s="13"/>
      <c r="AB245" s="14" t="str">
        <f aca="false">IF(W245="","Sin factura",IF(ABS(X245)&lt;=0.01,"OK","Revisar"))</f>
        <v>Sin factura</v>
      </c>
      <c r="AC245" s="13"/>
      <c r="AD245" s="14" t="str">
        <f aca="false">IF(A245="","",IF(L245="N","Producto no conforme",IF(M245="N","Falta registro sanitario",IF(OR(Y245="Parcial",Y245="Vencida"),IF(Z245="","Reprogramar recepción","Reprogramada "&amp;TEXT(Z245,"dd/mm")),IF(Y245="Pendiente","En espera",IF(U245="N","Completar documentos",IF(AB245="Revisar","Revisar importe facturado",IF(AC245&lt;&gt;"S","Registrar en Kontrollers","OK"))))))))</f>
        <v/>
      </c>
      <c r="AE245" s="13"/>
    </row>
    <row r="246" customFormat="false" ht="15" hidden="false" customHeight="false" outlineLevel="0" collapsed="false">
      <c r="A246" s="13"/>
      <c r="B246" s="16"/>
      <c r="C246" s="13"/>
      <c r="D246" s="13"/>
      <c r="E246" s="13"/>
      <c r="F246" s="13"/>
      <c r="G246" s="18"/>
      <c r="H246" s="16"/>
      <c r="I246" s="16"/>
      <c r="J246" s="17"/>
      <c r="K246" s="17"/>
      <c r="L246" s="13"/>
      <c r="M246" s="13"/>
      <c r="N246" s="13"/>
      <c r="O246" s="13"/>
      <c r="P246" s="13"/>
      <c r="Q246" s="14" t="str">
        <f aca="false">IF(B246="","",MONTH(B246))</f>
        <v/>
      </c>
      <c r="R246" s="20" t="str">
        <f aca="false">IF(OR(J246="",J246=0),"",MIN(1,K246/J246))</f>
        <v/>
      </c>
      <c r="S246" s="21" t="str">
        <f aca="true">IF(H246="","",IF(I246="",MAX(0,TODAY()-H246),MAX(0,I246-H246)))</f>
        <v/>
      </c>
      <c r="T246" s="14" t="str">
        <f aca="false">IF(OR(H246="",I246=""),"",IF(I246&lt;=H246,"S","N"))</f>
        <v/>
      </c>
      <c r="U246" s="14" t="str">
        <f aca="false">IF(A246="","",IF(AND(N246="S",O246="S",P246="S"),"S","N"))</f>
        <v/>
      </c>
      <c r="V246" s="13"/>
      <c r="W246" s="18"/>
      <c r="X246" s="19" t="str">
        <f aca="false">IF(W246="","",W246-G246)</f>
        <v/>
      </c>
      <c r="Y246" s="14" t="str">
        <f aca="true">IF(A246="","",IF(K246=0,IF(AND(H246&lt;&gt;"",TODAY()&gt;H246),"Vencida","Pendiente"),IF(K246&lt;J246,"Parcial","Completa")))</f>
        <v/>
      </c>
      <c r="Z246" s="16"/>
      <c r="AA246" s="13"/>
      <c r="AB246" s="14" t="str">
        <f aca="false">IF(W246="","Sin factura",IF(ABS(X246)&lt;=0.01,"OK","Revisar"))</f>
        <v>Sin factura</v>
      </c>
      <c r="AC246" s="13"/>
      <c r="AD246" s="14" t="str">
        <f aca="false">IF(A246="","",IF(L246="N","Producto no conforme",IF(M246="N","Falta registro sanitario",IF(OR(Y246="Parcial",Y246="Vencida"),IF(Z246="","Reprogramar recepción","Reprogramada "&amp;TEXT(Z246,"dd/mm")),IF(Y246="Pendiente","En espera",IF(U246="N","Completar documentos",IF(AB246="Revisar","Revisar importe facturado",IF(AC246&lt;&gt;"S","Registrar en Kontrollers","OK"))))))))</f>
        <v/>
      </c>
      <c r="AE246" s="13"/>
    </row>
    <row r="247" customFormat="false" ht="15" hidden="false" customHeight="false" outlineLevel="0" collapsed="false">
      <c r="A247" s="13"/>
      <c r="B247" s="16"/>
      <c r="C247" s="13"/>
      <c r="D247" s="13"/>
      <c r="E247" s="13"/>
      <c r="F247" s="13"/>
      <c r="G247" s="18"/>
      <c r="H247" s="16"/>
      <c r="I247" s="16"/>
      <c r="J247" s="17"/>
      <c r="K247" s="17"/>
      <c r="L247" s="13"/>
      <c r="M247" s="13"/>
      <c r="N247" s="13"/>
      <c r="O247" s="13"/>
      <c r="P247" s="13"/>
      <c r="Q247" s="14" t="str">
        <f aca="false">IF(B247="","",MONTH(B247))</f>
        <v/>
      </c>
      <c r="R247" s="20" t="str">
        <f aca="false">IF(OR(J247="",J247=0),"",MIN(1,K247/J247))</f>
        <v/>
      </c>
      <c r="S247" s="21" t="str">
        <f aca="true">IF(H247="","",IF(I247="",MAX(0,TODAY()-H247),MAX(0,I247-H247)))</f>
        <v/>
      </c>
      <c r="T247" s="14" t="str">
        <f aca="false">IF(OR(H247="",I247=""),"",IF(I247&lt;=H247,"S","N"))</f>
        <v/>
      </c>
      <c r="U247" s="14" t="str">
        <f aca="false">IF(A247="","",IF(AND(N247="S",O247="S",P247="S"),"S","N"))</f>
        <v/>
      </c>
      <c r="V247" s="13"/>
      <c r="W247" s="18"/>
      <c r="X247" s="19" t="str">
        <f aca="false">IF(W247="","",W247-G247)</f>
        <v/>
      </c>
      <c r="Y247" s="14" t="str">
        <f aca="true">IF(A247="","",IF(K247=0,IF(AND(H247&lt;&gt;"",TODAY()&gt;H247),"Vencida","Pendiente"),IF(K247&lt;J247,"Parcial","Completa")))</f>
        <v/>
      </c>
      <c r="Z247" s="16"/>
      <c r="AA247" s="13"/>
      <c r="AB247" s="14" t="str">
        <f aca="false">IF(W247="","Sin factura",IF(ABS(X247)&lt;=0.01,"OK","Revisar"))</f>
        <v>Sin factura</v>
      </c>
      <c r="AC247" s="13"/>
      <c r="AD247" s="14" t="str">
        <f aca="false">IF(A247="","",IF(L247="N","Producto no conforme",IF(M247="N","Falta registro sanitario",IF(OR(Y247="Parcial",Y247="Vencida"),IF(Z247="","Reprogramar recepción","Reprogramada "&amp;TEXT(Z247,"dd/mm")),IF(Y247="Pendiente","En espera",IF(U247="N","Completar documentos",IF(AB247="Revisar","Revisar importe facturado",IF(AC247&lt;&gt;"S","Registrar en Kontrollers","OK"))))))))</f>
        <v/>
      </c>
      <c r="AE247" s="13"/>
    </row>
    <row r="248" customFormat="false" ht="15" hidden="false" customHeight="false" outlineLevel="0" collapsed="false">
      <c r="A248" s="13"/>
      <c r="B248" s="16"/>
      <c r="C248" s="13"/>
      <c r="D248" s="13"/>
      <c r="E248" s="13"/>
      <c r="F248" s="13"/>
      <c r="G248" s="18"/>
      <c r="H248" s="16"/>
      <c r="I248" s="16"/>
      <c r="J248" s="17"/>
      <c r="K248" s="17"/>
      <c r="L248" s="13"/>
      <c r="M248" s="13"/>
      <c r="N248" s="13"/>
      <c r="O248" s="13"/>
      <c r="P248" s="13"/>
      <c r="Q248" s="14" t="str">
        <f aca="false">IF(B248="","",MONTH(B248))</f>
        <v/>
      </c>
      <c r="R248" s="20" t="str">
        <f aca="false">IF(OR(J248="",J248=0),"",MIN(1,K248/J248))</f>
        <v/>
      </c>
      <c r="S248" s="21" t="str">
        <f aca="true">IF(H248="","",IF(I248="",MAX(0,TODAY()-H248),MAX(0,I248-H248)))</f>
        <v/>
      </c>
      <c r="T248" s="14" t="str">
        <f aca="false">IF(OR(H248="",I248=""),"",IF(I248&lt;=H248,"S","N"))</f>
        <v/>
      </c>
      <c r="U248" s="14" t="str">
        <f aca="false">IF(A248="","",IF(AND(N248="S",O248="S",P248="S"),"S","N"))</f>
        <v/>
      </c>
      <c r="V248" s="13"/>
      <c r="W248" s="18"/>
      <c r="X248" s="19" t="str">
        <f aca="false">IF(W248="","",W248-G248)</f>
        <v/>
      </c>
      <c r="Y248" s="14" t="str">
        <f aca="true">IF(A248="","",IF(K248=0,IF(AND(H248&lt;&gt;"",TODAY()&gt;H248),"Vencida","Pendiente"),IF(K248&lt;J248,"Parcial","Completa")))</f>
        <v/>
      </c>
      <c r="Z248" s="16"/>
      <c r="AA248" s="13"/>
      <c r="AB248" s="14" t="str">
        <f aca="false">IF(W248="","Sin factura",IF(ABS(X248)&lt;=0.01,"OK","Revisar"))</f>
        <v>Sin factura</v>
      </c>
      <c r="AC248" s="13"/>
      <c r="AD248" s="14" t="str">
        <f aca="false">IF(A248="","",IF(L248="N","Producto no conforme",IF(M248="N","Falta registro sanitario",IF(OR(Y248="Parcial",Y248="Vencida"),IF(Z248="","Reprogramar recepción","Reprogramada "&amp;TEXT(Z248,"dd/mm")),IF(Y248="Pendiente","En espera",IF(U248="N","Completar documentos",IF(AB248="Revisar","Revisar importe facturado",IF(AC248&lt;&gt;"S","Registrar en Kontrollers","OK"))))))))</f>
        <v/>
      </c>
      <c r="AE248" s="13"/>
    </row>
    <row r="249" customFormat="false" ht="15" hidden="false" customHeight="false" outlineLevel="0" collapsed="false">
      <c r="A249" s="13"/>
      <c r="B249" s="16"/>
      <c r="C249" s="13"/>
      <c r="D249" s="13"/>
      <c r="E249" s="13"/>
      <c r="F249" s="13"/>
      <c r="G249" s="18"/>
      <c r="H249" s="16"/>
      <c r="I249" s="16"/>
      <c r="J249" s="17"/>
      <c r="K249" s="17"/>
      <c r="L249" s="13"/>
      <c r="M249" s="13"/>
      <c r="N249" s="13"/>
      <c r="O249" s="13"/>
      <c r="P249" s="13"/>
      <c r="Q249" s="14" t="str">
        <f aca="false">IF(B249="","",MONTH(B249))</f>
        <v/>
      </c>
      <c r="R249" s="20" t="str">
        <f aca="false">IF(OR(J249="",J249=0),"",MIN(1,K249/J249))</f>
        <v/>
      </c>
      <c r="S249" s="21" t="str">
        <f aca="true">IF(H249="","",IF(I249="",MAX(0,TODAY()-H249),MAX(0,I249-H249)))</f>
        <v/>
      </c>
      <c r="T249" s="14" t="str">
        <f aca="false">IF(OR(H249="",I249=""),"",IF(I249&lt;=H249,"S","N"))</f>
        <v/>
      </c>
      <c r="U249" s="14" t="str">
        <f aca="false">IF(A249="","",IF(AND(N249="S",O249="S",P249="S"),"S","N"))</f>
        <v/>
      </c>
      <c r="V249" s="13"/>
      <c r="W249" s="18"/>
      <c r="X249" s="19" t="str">
        <f aca="false">IF(W249="","",W249-G249)</f>
        <v/>
      </c>
      <c r="Y249" s="14" t="str">
        <f aca="true">IF(A249="","",IF(K249=0,IF(AND(H249&lt;&gt;"",TODAY()&gt;H249),"Vencida","Pendiente"),IF(K249&lt;J249,"Parcial","Completa")))</f>
        <v/>
      </c>
      <c r="Z249" s="16"/>
      <c r="AA249" s="13"/>
      <c r="AB249" s="14" t="str">
        <f aca="false">IF(W249="","Sin factura",IF(ABS(X249)&lt;=0.01,"OK","Revisar"))</f>
        <v>Sin factura</v>
      </c>
      <c r="AC249" s="13"/>
      <c r="AD249" s="14" t="str">
        <f aca="false">IF(A249="","",IF(L249="N","Producto no conforme",IF(M249="N","Falta registro sanitario",IF(OR(Y249="Parcial",Y249="Vencida"),IF(Z249="","Reprogramar recepción","Reprogramada "&amp;TEXT(Z249,"dd/mm")),IF(Y249="Pendiente","En espera",IF(U249="N","Completar documentos",IF(AB249="Revisar","Revisar importe facturado",IF(AC249&lt;&gt;"S","Registrar en Kontrollers","OK"))))))))</f>
        <v/>
      </c>
      <c r="AE249" s="13"/>
    </row>
    <row r="250" customFormat="false" ht="15" hidden="false" customHeight="false" outlineLevel="0" collapsed="false">
      <c r="A250" s="13"/>
      <c r="B250" s="16"/>
      <c r="C250" s="13"/>
      <c r="D250" s="13"/>
      <c r="E250" s="13"/>
      <c r="F250" s="13"/>
      <c r="G250" s="18"/>
      <c r="H250" s="16"/>
      <c r="I250" s="16"/>
      <c r="J250" s="17"/>
      <c r="K250" s="17"/>
      <c r="L250" s="13"/>
      <c r="M250" s="13"/>
      <c r="N250" s="13"/>
      <c r="O250" s="13"/>
      <c r="P250" s="13"/>
      <c r="Q250" s="14" t="str">
        <f aca="false">IF(B250="","",MONTH(B250))</f>
        <v/>
      </c>
      <c r="R250" s="20" t="str">
        <f aca="false">IF(OR(J250="",J250=0),"",MIN(1,K250/J250))</f>
        <v/>
      </c>
      <c r="S250" s="21" t="str">
        <f aca="true">IF(H250="","",IF(I250="",MAX(0,TODAY()-H250),MAX(0,I250-H250)))</f>
        <v/>
      </c>
      <c r="T250" s="14" t="str">
        <f aca="false">IF(OR(H250="",I250=""),"",IF(I250&lt;=H250,"S","N"))</f>
        <v/>
      </c>
      <c r="U250" s="14" t="str">
        <f aca="false">IF(A250="","",IF(AND(N250="S",O250="S",P250="S"),"S","N"))</f>
        <v/>
      </c>
      <c r="V250" s="13"/>
      <c r="W250" s="18"/>
      <c r="X250" s="19" t="str">
        <f aca="false">IF(W250="","",W250-G250)</f>
        <v/>
      </c>
      <c r="Y250" s="14" t="str">
        <f aca="true">IF(A250="","",IF(K250=0,IF(AND(H250&lt;&gt;"",TODAY()&gt;H250),"Vencida","Pendiente"),IF(K250&lt;J250,"Parcial","Completa")))</f>
        <v/>
      </c>
      <c r="Z250" s="16"/>
      <c r="AA250" s="13"/>
      <c r="AB250" s="14" t="str">
        <f aca="false">IF(W250="","Sin factura",IF(ABS(X250)&lt;=0.01,"OK","Revisar"))</f>
        <v>Sin factura</v>
      </c>
      <c r="AC250" s="13"/>
      <c r="AD250" s="14" t="str">
        <f aca="false">IF(A250="","",IF(L250="N","Producto no conforme",IF(M250="N","Falta registro sanitario",IF(OR(Y250="Parcial",Y250="Vencida"),IF(Z250="","Reprogramar recepción","Reprogramada "&amp;TEXT(Z250,"dd/mm")),IF(Y250="Pendiente","En espera",IF(U250="N","Completar documentos",IF(AB250="Revisar","Revisar importe facturado",IF(AC250&lt;&gt;"S","Registrar en Kontrollers","OK"))))))))</f>
        <v/>
      </c>
      <c r="AE250" s="13"/>
    </row>
    <row r="251" customFormat="false" ht="15" hidden="false" customHeight="false" outlineLevel="0" collapsed="false">
      <c r="A251" s="13"/>
      <c r="B251" s="16"/>
      <c r="C251" s="13"/>
      <c r="D251" s="13"/>
      <c r="E251" s="13"/>
      <c r="F251" s="13"/>
      <c r="G251" s="18"/>
      <c r="H251" s="16"/>
      <c r="I251" s="16"/>
      <c r="J251" s="17"/>
      <c r="K251" s="17"/>
      <c r="L251" s="13"/>
      <c r="M251" s="13"/>
      <c r="N251" s="13"/>
      <c r="O251" s="13"/>
      <c r="P251" s="13"/>
      <c r="Q251" s="14" t="str">
        <f aca="false">IF(B251="","",MONTH(B251))</f>
        <v/>
      </c>
      <c r="R251" s="20" t="str">
        <f aca="false">IF(OR(J251="",J251=0),"",MIN(1,K251/J251))</f>
        <v/>
      </c>
      <c r="S251" s="21" t="str">
        <f aca="true">IF(H251="","",IF(I251="",MAX(0,TODAY()-H251),MAX(0,I251-H251)))</f>
        <v/>
      </c>
      <c r="T251" s="14" t="str">
        <f aca="false">IF(OR(H251="",I251=""),"",IF(I251&lt;=H251,"S","N"))</f>
        <v/>
      </c>
      <c r="U251" s="14" t="str">
        <f aca="false">IF(A251="","",IF(AND(N251="S",O251="S",P251="S"),"S","N"))</f>
        <v/>
      </c>
      <c r="V251" s="13"/>
      <c r="W251" s="18"/>
      <c r="X251" s="19" t="str">
        <f aca="false">IF(W251="","",W251-G251)</f>
        <v/>
      </c>
      <c r="Y251" s="14" t="str">
        <f aca="true">IF(A251="","",IF(K251=0,IF(AND(H251&lt;&gt;"",TODAY()&gt;H251),"Vencida","Pendiente"),IF(K251&lt;J251,"Parcial","Completa")))</f>
        <v/>
      </c>
      <c r="Z251" s="16"/>
      <c r="AA251" s="13"/>
      <c r="AB251" s="14" t="str">
        <f aca="false">IF(W251="","Sin factura",IF(ABS(X251)&lt;=0.01,"OK","Revisar"))</f>
        <v>Sin factura</v>
      </c>
      <c r="AC251" s="13"/>
      <c r="AD251" s="14" t="str">
        <f aca="false">IF(A251="","",IF(L251="N","Producto no conforme",IF(M251="N","Falta registro sanitario",IF(OR(Y251="Parcial",Y251="Vencida"),IF(Z251="","Reprogramar recepción","Reprogramada "&amp;TEXT(Z251,"dd/mm")),IF(Y251="Pendiente","En espera",IF(U251="N","Completar documentos",IF(AB251="Revisar","Revisar importe facturado",IF(AC251&lt;&gt;"S","Registrar en Kontrollers","OK"))))))))</f>
        <v/>
      </c>
      <c r="AE251" s="13"/>
    </row>
    <row r="252" customFormat="false" ht="15" hidden="false" customHeight="false" outlineLevel="0" collapsed="false">
      <c r="A252" s="13"/>
      <c r="B252" s="16"/>
      <c r="C252" s="13"/>
      <c r="D252" s="13"/>
      <c r="E252" s="13"/>
      <c r="F252" s="13"/>
      <c r="G252" s="18"/>
      <c r="H252" s="16"/>
      <c r="I252" s="16"/>
      <c r="J252" s="17"/>
      <c r="K252" s="17"/>
      <c r="L252" s="13"/>
      <c r="M252" s="13"/>
      <c r="N252" s="13"/>
      <c r="O252" s="13"/>
      <c r="P252" s="13"/>
      <c r="Q252" s="14" t="str">
        <f aca="false">IF(B252="","",MONTH(B252))</f>
        <v/>
      </c>
      <c r="R252" s="20" t="str">
        <f aca="false">IF(OR(J252="",J252=0),"",MIN(1,K252/J252))</f>
        <v/>
      </c>
      <c r="S252" s="21" t="str">
        <f aca="true">IF(H252="","",IF(I252="",MAX(0,TODAY()-H252),MAX(0,I252-H252)))</f>
        <v/>
      </c>
      <c r="T252" s="14" t="str">
        <f aca="false">IF(OR(H252="",I252=""),"",IF(I252&lt;=H252,"S","N"))</f>
        <v/>
      </c>
      <c r="U252" s="14" t="str">
        <f aca="false">IF(A252="","",IF(AND(N252="S",O252="S",P252="S"),"S","N"))</f>
        <v/>
      </c>
      <c r="V252" s="13"/>
      <c r="W252" s="18"/>
      <c r="X252" s="19" t="str">
        <f aca="false">IF(W252="","",W252-G252)</f>
        <v/>
      </c>
      <c r="Y252" s="14" t="str">
        <f aca="true">IF(A252="","",IF(K252=0,IF(AND(H252&lt;&gt;"",TODAY()&gt;H252),"Vencida","Pendiente"),IF(K252&lt;J252,"Parcial","Completa")))</f>
        <v/>
      </c>
      <c r="Z252" s="16"/>
      <c r="AA252" s="13"/>
      <c r="AB252" s="14" t="str">
        <f aca="false">IF(W252="","Sin factura",IF(ABS(X252)&lt;=0.01,"OK","Revisar"))</f>
        <v>Sin factura</v>
      </c>
      <c r="AC252" s="13"/>
      <c r="AD252" s="14" t="str">
        <f aca="false">IF(A252="","",IF(L252="N","Producto no conforme",IF(M252="N","Falta registro sanitario",IF(OR(Y252="Parcial",Y252="Vencida"),IF(Z252="","Reprogramar recepción","Reprogramada "&amp;TEXT(Z252,"dd/mm")),IF(Y252="Pendiente","En espera",IF(U252="N","Completar documentos",IF(AB252="Revisar","Revisar importe facturado",IF(AC252&lt;&gt;"S","Registrar en Kontrollers","OK"))))))))</f>
        <v/>
      </c>
      <c r="AE252" s="13"/>
    </row>
    <row r="253" customFormat="false" ht="15" hidden="false" customHeight="false" outlineLevel="0" collapsed="false">
      <c r="A253" s="13"/>
      <c r="B253" s="16"/>
      <c r="C253" s="13"/>
      <c r="D253" s="13"/>
      <c r="E253" s="13"/>
      <c r="F253" s="13"/>
      <c r="G253" s="18"/>
      <c r="H253" s="16"/>
      <c r="I253" s="16"/>
      <c r="J253" s="17"/>
      <c r="K253" s="17"/>
      <c r="L253" s="13"/>
      <c r="M253" s="13"/>
      <c r="N253" s="13"/>
      <c r="O253" s="13"/>
      <c r="P253" s="13"/>
      <c r="Q253" s="14" t="str">
        <f aca="false">IF(B253="","",MONTH(B253))</f>
        <v/>
      </c>
      <c r="R253" s="20" t="str">
        <f aca="false">IF(OR(J253="",J253=0),"",MIN(1,K253/J253))</f>
        <v/>
      </c>
      <c r="S253" s="21" t="str">
        <f aca="true">IF(H253="","",IF(I253="",MAX(0,TODAY()-H253),MAX(0,I253-H253)))</f>
        <v/>
      </c>
      <c r="T253" s="14" t="str">
        <f aca="false">IF(OR(H253="",I253=""),"",IF(I253&lt;=H253,"S","N"))</f>
        <v/>
      </c>
      <c r="U253" s="14" t="str">
        <f aca="false">IF(A253="","",IF(AND(N253="S",O253="S",P253="S"),"S","N"))</f>
        <v/>
      </c>
      <c r="V253" s="13"/>
      <c r="W253" s="18"/>
      <c r="X253" s="19" t="str">
        <f aca="false">IF(W253="","",W253-G253)</f>
        <v/>
      </c>
      <c r="Y253" s="14" t="str">
        <f aca="true">IF(A253="","",IF(K253=0,IF(AND(H253&lt;&gt;"",TODAY()&gt;H253),"Vencida","Pendiente"),IF(K253&lt;J253,"Parcial","Completa")))</f>
        <v/>
      </c>
      <c r="Z253" s="16"/>
      <c r="AA253" s="13"/>
      <c r="AB253" s="14" t="str">
        <f aca="false">IF(W253="","Sin factura",IF(ABS(X253)&lt;=0.01,"OK","Revisar"))</f>
        <v>Sin factura</v>
      </c>
      <c r="AC253" s="13"/>
      <c r="AD253" s="14" t="str">
        <f aca="false">IF(A253="","",IF(L253="N","Producto no conforme",IF(M253="N","Falta registro sanitario",IF(OR(Y253="Parcial",Y253="Vencida"),IF(Z253="","Reprogramar recepción","Reprogramada "&amp;TEXT(Z253,"dd/mm")),IF(Y253="Pendiente","En espera",IF(U253="N","Completar documentos",IF(AB253="Revisar","Revisar importe facturado",IF(AC253&lt;&gt;"S","Registrar en Kontrollers","OK"))))))))</f>
        <v/>
      </c>
      <c r="AE253" s="13"/>
    </row>
    <row r="254" customFormat="false" ht="15" hidden="false" customHeight="false" outlineLevel="0" collapsed="false">
      <c r="A254" s="13"/>
      <c r="B254" s="16"/>
      <c r="C254" s="13"/>
      <c r="D254" s="13"/>
      <c r="E254" s="13"/>
      <c r="F254" s="13"/>
      <c r="G254" s="18"/>
      <c r="H254" s="16"/>
      <c r="I254" s="16"/>
      <c r="J254" s="17"/>
      <c r="K254" s="17"/>
      <c r="L254" s="13"/>
      <c r="M254" s="13"/>
      <c r="N254" s="13"/>
      <c r="O254" s="13"/>
      <c r="P254" s="13"/>
      <c r="Q254" s="14" t="str">
        <f aca="false">IF(B254="","",MONTH(B254))</f>
        <v/>
      </c>
      <c r="R254" s="20" t="str">
        <f aca="false">IF(OR(J254="",J254=0),"",MIN(1,K254/J254))</f>
        <v/>
      </c>
      <c r="S254" s="21" t="str">
        <f aca="true">IF(H254="","",IF(I254="",MAX(0,TODAY()-H254),MAX(0,I254-H254)))</f>
        <v/>
      </c>
      <c r="T254" s="14" t="str">
        <f aca="false">IF(OR(H254="",I254=""),"",IF(I254&lt;=H254,"S","N"))</f>
        <v/>
      </c>
      <c r="U254" s="14" t="str">
        <f aca="false">IF(A254="","",IF(AND(N254="S",O254="S",P254="S"),"S","N"))</f>
        <v/>
      </c>
      <c r="V254" s="13"/>
      <c r="W254" s="18"/>
      <c r="X254" s="19" t="str">
        <f aca="false">IF(W254="","",W254-G254)</f>
        <v/>
      </c>
      <c r="Y254" s="14" t="str">
        <f aca="true">IF(A254="","",IF(K254=0,IF(AND(H254&lt;&gt;"",TODAY()&gt;H254),"Vencida","Pendiente"),IF(K254&lt;J254,"Parcial","Completa")))</f>
        <v/>
      </c>
      <c r="Z254" s="16"/>
      <c r="AA254" s="13"/>
      <c r="AB254" s="14" t="str">
        <f aca="false">IF(W254="","Sin factura",IF(ABS(X254)&lt;=0.01,"OK","Revisar"))</f>
        <v>Sin factura</v>
      </c>
      <c r="AC254" s="13"/>
      <c r="AD254" s="14" t="str">
        <f aca="false">IF(A254="","",IF(L254="N","Producto no conforme",IF(M254="N","Falta registro sanitario",IF(OR(Y254="Parcial",Y254="Vencida"),IF(Z254="","Reprogramar recepción","Reprogramada "&amp;TEXT(Z254,"dd/mm")),IF(Y254="Pendiente","En espera",IF(U254="N","Completar documentos",IF(AB254="Revisar","Revisar importe facturado",IF(AC254&lt;&gt;"S","Registrar en Kontrollers","OK"))))))))</f>
        <v/>
      </c>
      <c r="AE254" s="13"/>
    </row>
    <row r="255" customFormat="false" ht="15" hidden="false" customHeight="false" outlineLevel="0" collapsed="false">
      <c r="A255" s="13"/>
      <c r="B255" s="16"/>
      <c r="C255" s="13"/>
      <c r="D255" s="13"/>
      <c r="E255" s="13"/>
      <c r="F255" s="13"/>
      <c r="G255" s="18"/>
      <c r="H255" s="16"/>
      <c r="I255" s="16"/>
      <c r="J255" s="17"/>
      <c r="K255" s="17"/>
      <c r="L255" s="13"/>
      <c r="M255" s="13"/>
      <c r="N255" s="13"/>
      <c r="O255" s="13"/>
      <c r="P255" s="13"/>
      <c r="Q255" s="14" t="str">
        <f aca="false">IF(B255="","",MONTH(B255))</f>
        <v/>
      </c>
      <c r="R255" s="20" t="str">
        <f aca="false">IF(OR(J255="",J255=0),"",MIN(1,K255/J255))</f>
        <v/>
      </c>
      <c r="S255" s="21" t="str">
        <f aca="true">IF(H255="","",IF(I255="",MAX(0,TODAY()-H255),MAX(0,I255-H255)))</f>
        <v/>
      </c>
      <c r="T255" s="14" t="str">
        <f aca="false">IF(OR(H255="",I255=""),"",IF(I255&lt;=H255,"S","N"))</f>
        <v/>
      </c>
      <c r="U255" s="14" t="str">
        <f aca="false">IF(A255="","",IF(AND(N255="S",O255="S",P255="S"),"S","N"))</f>
        <v/>
      </c>
      <c r="V255" s="13"/>
      <c r="W255" s="18"/>
      <c r="X255" s="19" t="str">
        <f aca="false">IF(W255="","",W255-G255)</f>
        <v/>
      </c>
      <c r="Y255" s="14" t="str">
        <f aca="true">IF(A255="","",IF(K255=0,IF(AND(H255&lt;&gt;"",TODAY()&gt;H255),"Vencida","Pendiente"),IF(K255&lt;J255,"Parcial","Completa")))</f>
        <v/>
      </c>
      <c r="Z255" s="16"/>
      <c r="AA255" s="13"/>
      <c r="AB255" s="14" t="str">
        <f aca="false">IF(W255="","Sin factura",IF(ABS(X255)&lt;=0.01,"OK","Revisar"))</f>
        <v>Sin factura</v>
      </c>
      <c r="AC255" s="13"/>
      <c r="AD255" s="14" t="str">
        <f aca="false">IF(A255="","",IF(L255="N","Producto no conforme",IF(M255="N","Falta registro sanitario",IF(OR(Y255="Parcial",Y255="Vencida"),IF(Z255="","Reprogramar recepción","Reprogramada "&amp;TEXT(Z255,"dd/mm")),IF(Y255="Pendiente","En espera",IF(U255="N","Completar documentos",IF(AB255="Revisar","Revisar importe facturado",IF(AC255&lt;&gt;"S","Registrar en Kontrollers","OK"))))))))</f>
        <v/>
      </c>
      <c r="AE255" s="13"/>
    </row>
    <row r="256" customFormat="false" ht="15" hidden="false" customHeight="false" outlineLevel="0" collapsed="false">
      <c r="A256" s="13"/>
      <c r="B256" s="16"/>
      <c r="C256" s="13"/>
      <c r="D256" s="13"/>
      <c r="E256" s="13"/>
      <c r="F256" s="13"/>
      <c r="G256" s="18"/>
      <c r="H256" s="16"/>
      <c r="I256" s="16"/>
      <c r="J256" s="17"/>
      <c r="K256" s="17"/>
      <c r="L256" s="13"/>
      <c r="M256" s="13"/>
      <c r="N256" s="13"/>
      <c r="O256" s="13"/>
      <c r="P256" s="13"/>
      <c r="Q256" s="14" t="str">
        <f aca="false">IF(B256="","",MONTH(B256))</f>
        <v/>
      </c>
      <c r="R256" s="20" t="str">
        <f aca="false">IF(OR(J256="",J256=0),"",MIN(1,K256/J256))</f>
        <v/>
      </c>
      <c r="S256" s="21" t="str">
        <f aca="true">IF(H256="","",IF(I256="",MAX(0,TODAY()-H256),MAX(0,I256-H256)))</f>
        <v/>
      </c>
      <c r="T256" s="14" t="str">
        <f aca="false">IF(OR(H256="",I256=""),"",IF(I256&lt;=H256,"S","N"))</f>
        <v/>
      </c>
      <c r="U256" s="14" t="str">
        <f aca="false">IF(A256="","",IF(AND(N256="S",O256="S",P256="S"),"S","N"))</f>
        <v/>
      </c>
      <c r="V256" s="13"/>
      <c r="W256" s="18"/>
      <c r="X256" s="19" t="str">
        <f aca="false">IF(W256="","",W256-G256)</f>
        <v/>
      </c>
      <c r="Y256" s="14" t="str">
        <f aca="true">IF(A256="","",IF(K256=0,IF(AND(H256&lt;&gt;"",TODAY()&gt;H256),"Vencida","Pendiente"),IF(K256&lt;J256,"Parcial","Completa")))</f>
        <v/>
      </c>
      <c r="Z256" s="16"/>
      <c r="AA256" s="13"/>
      <c r="AB256" s="14" t="str">
        <f aca="false">IF(W256="","Sin factura",IF(ABS(X256)&lt;=0.01,"OK","Revisar"))</f>
        <v>Sin factura</v>
      </c>
      <c r="AC256" s="13"/>
      <c r="AD256" s="14" t="str">
        <f aca="false">IF(A256="","",IF(L256="N","Producto no conforme",IF(M256="N","Falta registro sanitario",IF(OR(Y256="Parcial",Y256="Vencida"),IF(Z256="","Reprogramar recepción","Reprogramada "&amp;TEXT(Z256,"dd/mm")),IF(Y256="Pendiente","En espera",IF(U256="N","Completar documentos",IF(AB256="Revisar","Revisar importe facturado",IF(AC256&lt;&gt;"S","Registrar en Kontrollers","OK"))))))))</f>
        <v/>
      </c>
      <c r="AE256" s="13"/>
    </row>
    <row r="257" customFormat="false" ht="15" hidden="false" customHeight="false" outlineLevel="0" collapsed="false">
      <c r="A257" s="13"/>
      <c r="B257" s="16"/>
      <c r="C257" s="13"/>
      <c r="D257" s="13"/>
      <c r="E257" s="13"/>
      <c r="F257" s="13"/>
      <c r="G257" s="18"/>
      <c r="H257" s="16"/>
      <c r="I257" s="16"/>
      <c r="J257" s="17"/>
      <c r="K257" s="17"/>
      <c r="L257" s="13"/>
      <c r="M257" s="13"/>
      <c r="N257" s="13"/>
      <c r="O257" s="13"/>
      <c r="P257" s="13"/>
      <c r="Q257" s="14" t="str">
        <f aca="false">IF(B257="","",MONTH(B257))</f>
        <v/>
      </c>
      <c r="R257" s="20" t="str">
        <f aca="false">IF(OR(J257="",J257=0),"",MIN(1,K257/J257))</f>
        <v/>
      </c>
      <c r="S257" s="21" t="str">
        <f aca="true">IF(H257="","",IF(I257="",MAX(0,TODAY()-H257),MAX(0,I257-H257)))</f>
        <v/>
      </c>
      <c r="T257" s="14" t="str">
        <f aca="false">IF(OR(H257="",I257=""),"",IF(I257&lt;=H257,"S","N"))</f>
        <v/>
      </c>
      <c r="U257" s="14" t="str">
        <f aca="false">IF(A257="","",IF(AND(N257="S",O257="S",P257="S"),"S","N"))</f>
        <v/>
      </c>
      <c r="V257" s="13"/>
      <c r="W257" s="18"/>
      <c r="X257" s="19" t="str">
        <f aca="false">IF(W257="","",W257-G257)</f>
        <v/>
      </c>
      <c r="Y257" s="14" t="str">
        <f aca="true">IF(A257="","",IF(K257=0,IF(AND(H257&lt;&gt;"",TODAY()&gt;H257),"Vencida","Pendiente"),IF(K257&lt;J257,"Parcial","Completa")))</f>
        <v/>
      </c>
      <c r="Z257" s="16"/>
      <c r="AA257" s="13"/>
      <c r="AB257" s="14" t="str">
        <f aca="false">IF(W257="","Sin factura",IF(ABS(X257)&lt;=0.01,"OK","Revisar"))</f>
        <v>Sin factura</v>
      </c>
      <c r="AC257" s="13"/>
      <c r="AD257" s="14" t="str">
        <f aca="false">IF(A257="","",IF(L257="N","Producto no conforme",IF(M257="N","Falta registro sanitario",IF(OR(Y257="Parcial",Y257="Vencida"),IF(Z257="","Reprogramar recepción","Reprogramada "&amp;TEXT(Z257,"dd/mm")),IF(Y257="Pendiente","En espera",IF(U257="N","Completar documentos",IF(AB257="Revisar","Revisar importe facturado",IF(AC257&lt;&gt;"S","Registrar en Kontrollers","OK"))))))))</f>
        <v/>
      </c>
      <c r="AE257" s="13"/>
    </row>
    <row r="258" customFormat="false" ht="15" hidden="false" customHeight="false" outlineLevel="0" collapsed="false">
      <c r="A258" s="13"/>
      <c r="B258" s="16"/>
      <c r="C258" s="13"/>
      <c r="D258" s="13"/>
      <c r="E258" s="13"/>
      <c r="F258" s="13"/>
      <c r="G258" s="18"/>
      <c r="H258" s="16"/>
      <c r="I258" s="16"/>
      <c r="J258" s="17"/>
      <c r="K258" s="17"/>
      <c r="L258" s="13"/>
      <c r="M258" s="13"/>
      <c r="N258" s="13"/>
      <c r="O258" s="13"/>
      <c r="P258" s="13"/>
      <c r="Q258" s="14" t="str">
        <f aca="false">IF(B258="","",MONTH(B258))</f>
        <v/>
      </c>
      <c r="R258" s="20" t="str">
        <f aca="false">IF(OR(J258="",J258=0),"",MIN(1,K258/J258))</f>
        <v/>
      </c>
      <c r="S258" s="21" t="str">
        <f aca="true">IF(H258="","",IF(I258="",MAX(0,TODAY()-H258),MAX(0,I258-H258)))</f>
        <v/>
      </c>
      <c r="T258" s="14" t="str">
        <f aca="false">IF(OR(H258="",I258=""),"",IF(I258&lt;=H258,"S","N"))</f>
        <v/>
      </c>
      <c r="U258" s="14" t="str">
        <f aca="false">IF(A258="","",IF(AND(N258="S",O258="S",P258="S"),"S","N"))</f>
        <v/>
      </c>
      <c r="V258" s="13"/>
      <c r="W258" s="18"/>
      <c r="X258" s="19" t="str">
        <f aca="false">IF(W258="","",W258-G258)</f>
        <v/>
      </c>
      <c r="Y258" s="14" t="str">
        <f aca="true">IF(A258="","",IF(K258=0,IF(AND(H258&lt;&gt;"",TODAY()&gt;H258),"Vencida","Pendiente"),IF(K258&lt;J258,"Parcial","Completa")))</f>
        <v/>
      </c>
      <c r="Z258" s="16"/>
      <c r="AA258" s="13"/>
      <c r="AB258" s="14" t="str">
        <f aca="false">IF(W258="","Sin factura",IF(ABS(X258)&lt;=0.01,"OK","Revisar"))</f>
        <v>Sin factura</v>
      </c>
      <c r="AC258" s="13"/>
      <c r="AD258" s="14" t="str">
        <f aca="false">IF(A258="","",IF(L258="N","Producto no conforme",IF(M258="N","Falta registro sanitario",IF(OR(Y258="Parcial",Y258="Vencida"),IF(Z258="","Reprogramar recepción","Reprogramada "&amp;TEXT(Z258,"dd/mm")),IF(Y258="Pendiente","En espera",IF(U258="N","Completar documentos",IF(AB258="Revisar","Revisar importe facturado",IF(AC258&lt;&gt;"S","Registrar en Kontrollers","OK"))))))))</f>
        <v/>
      </c>
      <c r="AE258" s="13"/>
    </row>
    <row r="259" customFormat="false" ht="15" hidden="false" customHeight="false" outlineLevel="0" collapsed="false">
      <c r="A259" s="13"/>
      <c r="B259" s="16"/>
      <c r="C259" s="13"/>
      <c r="D259" s="13"/>
      <c r="E259" s="13"/>
      <c r="F259" s="13"/>
      <c r="G259" s="18"/>
      <c r="H259" s="16"/>
      <c r="I259" s="16"/>
      <c r="J259" s="17"/>
      <c r="K259" s="17"/>
      <c r="L259" s="13"/>
      <c r="M259" s="13"/>
      <c r="N259" s="13"/>
      <c r="O259" s="13"/>
      <c r="P259" s="13"/>
      <c r="Q259" s="14" t="str">
        <f aca="false">IF(B259="","",MONTH(B259))</f>
        <v/>
      </c>
      <c r="R259" s="20" t="str">
        <f aca="false">IF(OR(J259="",J259=0),"",MIN(1,K259/J259))</f>
        <v/>
      </c>
      <c r="S259" s="21" t="str">
        <f aca="true">IF(H259="","",IF(I259="",MAX(0,TODAY()-H259),MAX(0,I259-H259)))</f>
        <v/>
      </c>
      <c r="T259" s="14" t="str">
        <f aca="false">IF(OR(H259="",I259=""),"",IF(I259&lt;=H259,"S","N"))</f>
        <v/>
      </c>
      <c r="U259" s="14" t="str">
        <f aca="false">IF(A259="","",IF(AND(N259="S",O259="S",P259="S"),"S","N"))</f>
        <v/>
      </c>
      <c r="V259" s="13"/>
      <c r="W259" s="18"/>
      <c r="X259" s="19" t="str">
        <f aca="false">IF(W259="","",W259-G259)</f>
        <v/>
      </c>
      <c r="Y259" s="14" t="str">
        <f aca="true">IF(A259="","",IF(K259=0,IF(AND(H259&lt;&gt;"",TODAY()&gt;H259),"Vencida","Pendiente"),IF(K259&lt;J259,"Parcial","Completa")))</f>
        <v/>
      </c>
      <c r="Z259" s="16"/>
      <c r="AA259" s="13"/>
      <c r="AB259" s="14" t="str">
        <f aca="false">IF(W259="","Sin factura",IF(ABS(X259)&lt;=0.01,"OK","Revisar"))</f>
        <v>Sin factura</v>
      </c>
      <c r="AC259" s="13"/>
      <c r="AD259" s="14" t="str">
        <f aca="false">IF(A259="","",IF(L259="N","Producto no conforme",IF(M259="N","Falta registro sanitario",IF(OR(Y259="Parcial",Y259="Vencida"),IF(Z259="","Reprogramar recepción","Reprogramada "&amp;TEXT(Z259,"dd/mm")),IF(Y259="Pendiente","En espera",IF(U259="N","Completar documentos",IF(AB259="Revisar","Revisar importe facturado",IF(AC259&lt;&gt;"S","Registrar en Kontrollers","OK"))))))))</f>
        <v/>
      </c>
      <c r="AE259" s="13"/>
    </row>
    <row r="260" customFormat="false" ht="15" hidden="false" customHeight="false" outlineLevel="0" collapsed="false">
      <c r="A260" s="13"/>
      <c r="B260" s="16"/>
      <c r="C260" s="13"/>
      <c r="D260" s="13"/>
      <c r="E260" s="13"/>
      <c r="F260" s="13"/>
      <c r="G260" s="18"/>
      <c r="H260" s="16"/>
      <c r="I260" s="16"/>
      <c r="J260" s="17"/>
      <c r="K260" s="17"/>
      <c r="L260" s="13"/>
      <c r="M260" s="13"/>
      <c r="N260" s="13"/>
      <c r="O260" s="13"/>
      <c r="P260" s="13"/>
      <c r="Q260" s="14" t="str">
        <f aca="false">IF(B260="","",MONTH(B260))</f>
        <v/>
      </c>
      <c r="R260" s="20" t="str">
        <f aca="false">IF(OR(J260="",J260=0),"",MIN(1,K260/J260))</f>
        <v/>
      </c>
      <c r="S260" s="21" t="str">
        <f aca="true">IF(H260="","",IF(I260="",MAX(0,TODAY()-H260),MAX(0,I260-H260)))</f>
        <v/>
      </c>
      <c r="T260" s="14" t="str">
        <f aca="false">IF(OR(H260="",I260=""),"",IF(I260&lt;=H260,"S","N"))</f>
        <v/>
      </c>
      <c r="U260" s="14" t="str">
        <f aca="false">IF(A260="","",IF(AND(N260="S",O260="S",P260="S"),"S","N"))</f>
        <v/>
      </c>
      <c r="V260" s="13"/>
      <c r="W260" s="18"/>
      <c r="X260" s="19" t="str">
        <f aca="false">IF(W260="","",W260-G260)</f>
        <v/>
      </c>
      <c r="Y260" s="14" t="str">
        <f aca="true">IF(A260="","",IF(K260=0,IF(AND(H260&lt;&gt;"",TODAY()&gt;H260),"Vencida","Pendiente"),IF(K260&lt;J260,"Parcial","Completa")))</f>
        <v/>
      </c>
      <c r="Z260" s="16"/>
      <c r="AA260" s="13"/>
      <c r="AB260" s="14" t="str">
        <f aca="false">IF(W260="","Sin factura",IF(ABS(X260)&lt;=0.01,"OK","Revisar"))</f>
        <v>Sin factura</v>
      </c>
      <c r="AC260" s="13"/>
      <c r="AD260" s="14" t="str">
        <f aca="false">IF(A260="","",IF(L260="N","Producto no conforme",IF(M260="N","Falta registro sanitario",IF(OR(Y260="Parcial",Y260="Vencida"),IF(Z260="","Reprogramar recepción","Reprogramada "&amp;TEXT(Z260,"dd/mm")),IF(Y260="Pendiente","En espera",IF(U260="N","Completar documentos",IF(AB260="Revisar","Revisar importe facturado",IF(AC260&lt;&gt;"S","Registrar en Kontrollers","OK"))))))))</f>
        <v/>
      </c>
      <c r="AE260" s="13"/>
    </row>
    <row r="261" customFormat="false" ht="15" hidden="false" customHeight="false" outlineLevel="0" collapsed="false">
      <c r="A261" s="13"/>
      <c r="B261" s="16"/>
      <c r="C261" s="13"/>
      <c r="D261" s="13"/>
      <c r="E261" s="13"/>
      <c r="F261" s="13"/>
      <c r="G261" s="18"/>
      <c r="H261" s="16"/>
      <c r="I261" s="16"/>
      <c r="J261" s="17"/>
      <c r="K261" s="17"/>
      <c r="L261" s="13"/>
      <c r="M261" s="13"/>
      <c r="N261" s="13"/>
      <c r="O261" s="13"/>
      <c r="P261" s="13"/>
      <c r="Q261" s="14" t="str">
        <f aca="false">IF(B261="","",MONTH(B261))</f>
        <v/>
      </c>
      <c r="R261" s="20" t="str">
        <f aca="false">IF(OR(J261="",J261=0),"",MIN(1,K261/J261))</f>
        <v/>
      </c>
      <c r="S261" s="21" t="str">
        <f aca="true">IF(H261="","",IF(I261="",MAX(0,TODAY()-H261),MAX(0,I261-H261)))</f>
        <v/>
      </c>
      <c r="T261" s="14" t="str">
        <f aca="false">IF(OR(H261="",I261=""),"",IF(I261&lt;=H261,"S","N"))</f>
        <v/>
      </c>
      <c r="U261" s="14" t="str">
        <f aca="false">IF(A261="","",IF(AND(N261="S",O261="S",P261="S"),"S","N"))</f>
        <v/>
      </c>
      <c r="V261" s="13"/>
      <c r="W261" s="18"/>
      <c r="X261" s="19" t="str">
        <f aca="false">IF(W261="","",W261-G261)</f>
        <v/>
      </c>
      <c r="Y261" s="14" t="str">
        <f aca="true">IF(A261="","",IF(K261=0,IF(AND(H261&lt;&gt;"",TODAY()&gt;H261),"Vencida","Pendiente"),IF(K261&lt;J261,"Parcial","Completa")))</f>
        <v/>
      </c>
      <c r="Z261" s="16"/>
      <c r="AA261" s="13"/>
      <c r="AB261" s="14" t="str">
        <f aca="false">IF(W261="","Sin factura",IF(ABS(X261)&lt;=0.01,"OK","Revisar"))</f>
        <v>Sin factura</v>
      </c>
      <c r="AC261" s="13"/>
      <c r="AD261" s="14" t="str">
        <f aca="false">IF(A261="","",IF(L261="N","Producto no conforme",IF(M261="N","Falta registro sanitario",IF(OR(Y261="Parcial",Y261="Vencida"),IF(Z261="","Reprogramar recepción","Reprogramada "&amp;TEXT(Z261,"dd/mm")),IF(Y261="Pendiente","En espera",IF(U261="N","Completar documentos",IF(AB261="Revisar","Revisar importe facturado",IF(AC261&lt;&gt;"S","Registrar en Kontrollers","OK"))))))))</f>
        <v/>
      </c>
      <c r="AE261" s="13"/>
    </row>
    <row r="262" customFormat="false" ht="15" hidden="false" customHeight="false" outlineLevel="0" collapsed="false">
      <c r="A262" s="13"/>
      <c r="B262" s="16"/>
      <c r="C262" s="13"/>
      <c r="D262" s="13"/>
      <c r="E262" s="13"/>
      <c r="F262" s="13"/>
      <c r="G262" s="18"/>
      <c r="H262" s="16"/>
      <c r="I262" s="16"/>
      <c r="J262" s="17"/>
      <c r="K262" s="17"/>
      <c r="L262" s="13"/>
      <c r="M262" s="13"/>
      <c r="N262" s="13"/>
      <c r="O262" s="13"/>
      <c r="P262" s="13"/>
      <c r="Q262" s="14" t="str">
        <f aca="false">IF(B262="","",MONTH(B262))</f>
        <v/>
      </c>
      <c r="R262" s="20" t="str">
        <f aca="false">IF(OR(J262="",J262=0),"",MIN(1,K262/J262))</f>
        <v/>
      </c>
      <c r="S262" s="21" t="str">
        <f aca="true">IF(H262="","",IF(I262="",MAX(0,TODAY()-H262),MAX(0,I262-H262)))</f>
        <v/>
      </c>
      <c r="T262" s="14" t="str">
        <f aca="false">IF(OR(H262="",I262=""),"",IF(I262&lt;=H262,"S","N"))</f>
        <v/>
      </c>
      <c r="U262" s="14" t="str">
        <f aca="false">IF(A262="","",IF(AND(N262="S",O262="S",P262="S"),"S","N"))</f>
        <v/>
      </c>
      <c r="V262" s="13"/>
      <c r="W262" s="18"/>
      <c r="X262" s="19" t="str">
        <f aca="false">IF(W262="","",W262-G262)</f>
        <v/>
      </c>
      <c r="Y262" s="14" t="str">
        <f aca="true">IF(A262="","",IF(K262=0,IF(AND(H262&lt;&gt;"",TODAY()&gt;H262),"Vencida","Pendiente"),IF(K262&lt;J262,"Parcial","Completa")))</f>
        <v/>
      </c>
      <c r="Z262" s="16"/>
      <c r="AA262" s="13"/>
      <c r="AB262" s="14" t="str">
        <f aca="false">IF(W262="","Sin factura",IF(ABS(X262)&lt;=0.01,"OK","Revisar"))</f>
        <v>Sin factura</v>
      </c>
      <c r="AC262" s="13"/>
      <c r="AD262" s="14" t="str">
        <f aca="false">IF(A262="","",IF(L262="N","Producto no conforme",IF(M262="N","Falta registro sanitario",IF(OR(Y262="Parcial",Y262="Vencida"),IF(Z262="","Reprogramar recepción","Reprogramada "&amp;TEXT(Z262,"dd/mm")),IF(Y262="Pendiente","En espera",IF(U262="N","Completar documentos",IF(AB262="Revisar","Revisar importe facturado",IF(AC262&lt;&gt;"S","Registrar en Kontrollers","OK"))))))))</f>
        <v/>
      </c>
      <c r="AE262" s="13"/>
    </row>
    <row r="263" customFormat="false" ht="15" hidden="false" customHeight="false" outlineLevel="0" collapsed="false">
      <c r="A263" s="13"/>
      <c r="B263" s="16"/>
      <c r="C263" s="13"/>
      <c r="D263" s="13"/>
      <c r="E263" s="13"/>
      <c r="F263" s="13"/>
      <c r="G263" s="18"/>
      <c r="H263" s="16"/>
      <c r="I263" s="16"/>
      <c r="J263" s="17"/>
      <c r="K263" s="17"/>
      <c r="L263" s="13"/>
      <c r="M263" s="13"/>
      <c r="N263" s="13"/>
      <c r="O263" s="13"/>
      <c r="P263" s="13"/>
      <c r="Q263" s="14" t="str">
        <f aca="false">IF(B263="","",MONTH(B263))</f>
        <v/>
      </c>
      <c r="R263" s="20" t="str">
        <f aca="false">IF(OR(J263="",J263=0),"",MIN(1,K263/J263))</f>
        <v/>
      </c>
      <c r="S263" s="21" t="str">
        <f aca="true">IF(H263="","",IF(I263="",MAX(0,TODAY()-H263),MAX(0,I263-H263)))</f>
        <v/>
      </c>
      <c r="T263" s="14" t="str">
        <f aca="false">IF(OR(H263="",I263=""),"",IF(I263&lt;=H263,"S","N"))</f>
        <v/>
      </c>
      <c r="U263" s="14" t="str">
        <f aca="false">IF(A263="","",IF(AND(N263="S",O263="S",P263="S"),"S","N"))</f>
        <v/>
      </c>
      <c r="V263" s="13"/>
      <c r="W263" s="18"/>
      <c r="X263" s="19" t="str">
        <f aca="false">IF(W263="","",W263-G263)</f>
        <v/>
      </c>
      <c r="Y263" s="14" t="str">
        <f aca="true">IF(A263="","",IF(K263=0,IF(AND(H263&lt;&gt;"",TODAY()&gt;H263),"Vencida","Pendiente"),IF(K263&lt;J263,"Parcial","Completa")))</f>
        <v/>
      </c>
      <c r="Z263" s="16"/>
      <c r="AA263" s="13"/>
      <c r="AB263" s="14" t="str">
        <f aca="false">IF(W263="","Sin factura",IF(ABS(X263)&lt;=0.01,"OK","Revisar"))</f>
        <v>Sin factura</v>
      </c>
      <c r="AC263" s="13"/>
      <c r="AD263" s="14" t="str">
        <f aca="false">IF(A263="","",IF(L263="N","Producto no conforme",IF(M263="N","Falta registro sanitario",IF(OR(Y263="Parcial",Y263="Vencida"),IF(Z263="","Reprogramar recepción","Reprogramada "&amp;TEXT(Z263,"dd/mm")),IF(Y263="Pendiente","En espera",IF(U263="N","Completar documentos",IF(AB263="Revisar","Revisar importe facturado",IF(AC263&lt;&gt;"S","Registrar en Kontrollers","OK"))))))))</f>
        <v/>
      </c>
      <c r="AE263" s="13"/>
    </row>
    <row r="264" customFormat="false" ht="15" hidden="false" customHeight="false" outlineLevel="0" collapsed="false">
      <c r="A264" s="13"/>
      <c r="B264" s="16"/>
      <c r="C264" s="13"/>
      <c r="D264" s="13"/>
      <c r="E264" s="13"/>
      <c r="F264" s="13"/>
      <c r="G264" s="18"/>
      <c r="H264" s="16"/>
      <c r="I264" s="16"/>
      <c r="J264" s="17"/>
      <c r="K264" s="17"/>
      <c r="L264" s="13"/>
      <c r="M264" s="13"/>
      <c r="N264" s="13"/>
      <c r="O264" s="13"/>
      <c r="P264" s="13"/>
      <c r="Q264" s="14" t="str">
        <f aca="false">IF(B264="","",MONTH(B264))</f>
        <v/>
      </c>
      <c r="R264" s="20" t="str">
        <f aca="false">IF(OR(J264="",J264=0),"",MIN(1,K264/J264))</f>
        <v/>
      </c>
      <c r="S264" s="21" t="str">
        <f aca="true">IF(H264="","",IF(I264="",MAX(0,TODAY()-H264),MAX(0,I264-H264)))</f>
        <v/>
      </c>
      <c r="T264" s="14" t="str">
        <f aca="false">IF(OR(H264="",I264=""),"",IF(I264&lt;=H264,"S","N"))</f>
        <v/>
      </c>
      <c r="U264" s="14" t="str">
        <f aca="false">IF(A264="","",IF(AND(N264="S",O264="S",P264="S"),"S","N"))</f>
        <v/>
      </c>
      <c r="V264" s="13"/>
      <c r="W264" s="18"/>
      <c r="X264" s="19" t="str">
        <f aca="false">IF(W264="","",W264-G264)</f>
        <v/>
      </c>
      <c r="Y264" s="14" t="str">
        <f aca="true">IF(A264="","",IF(K264=0,IF(AND(H264&lt;&gt;"",TODAY()&gt;H264),"Vencida","Pendiente"),IF(K264&lt;J264,"Parcial","Completa")))</f>
        <v/>
      </c>
      <c r="Z264" s="16"/>
      <c r="AA264" s="13"/>
      <c r="AB264" s="14" t="str">
        <f aca="false">IF(W264="","Sin factura",IF(ABS(X264)&lt;=0.01,"OK","Revisar"))</f>
        <v>Sin factura</v>
      </c>
      <c r="AC264" s="13"/>
      <c r="AD264" s="14" t="str">
        <f aca="false">IF(A264="","",IF(L264="N","Producto no conforme",IF(M264="N","Falta registro sanitario",IF(OR(Y264="Parcial",Y264="Vencida"),IF(Z264="","Reprogramar recepción","Reprogramada "&amp;TEXT(Z264,"dd/mm")),IF(Y264="Pendiente","En espera",IF(U264="N","Completar documentos",IF(AB264="Revisar","Revisar importe facturado",IF(AC264&lt;&gt;"S","Registrar en Kontrollers","OK"))))))))</f>
        <v/>
      </c>
      <c r="AE264" s="13"/>
    </row>
    <row r="265" customFormat="false" ht="15" hidden="false" customHeight="false" outlineLevel="0" collapsed="false">
      <c r="A265" s="13"/>
      <c r="B265" s="16"/>
      <c r="C265" s="13"/>
      <c r="D265" s="13"/>
      <c r="E265" s="13"/>
      <c r="F265" s="13"/>
      <c r="G265" s="18"/>
      <c r="H265" s="16"/>
      <c r="I265" s="16"/>
      <c r="J265" s="17"/>
      <c r="K265" s="17"/>
      <c r="L265" s="13"/>
      <c r="M265" s="13"/>
      <c r="N265" s="13"/>
      <c r="O265" s="13"/>
      <c r="P265" s="13"/>
      <c r="Q265" s="14" t="str">
        <f aca="false">IF(B265="","",MONTH(B265))</f>
        <v/>
      </c>
      <c r="R265" s="20" t="str">
        <f aca="false">IF(OR(J265="",J265=0),"",MIN(1,K265/J265))</f>
        <v/>
      </c>
      <c r="S265" s="21" t="str">
        <f aca="true">IF(H265="","",IF(I265="",MAX(0,TODAY()-H265),MAX(0,I265-H265)))</f>
        <v/>
      </c>
      <c r="T265" s="14" t="str">
        <f aca="false">IF(OR(H265="",I265=""),"",IF(I265&lt;=H265,"S","N"))</f>
        <v/>
      </c>
      <c r="U265" s="14" t="str">
        <f aca="false">IF(A265="","",IF(AND(N265="S",O265="S",P265="S"),"S","N"))</f>
        <v/>
      </c>
      <c r="V265" s="13"/>
      <c r="W265" s="18"/>
      <c r="X265" s="19" t="str">
        <f aca="false">IF(W265="","",W265-G265)</f>
        <v/>
      </c>
      <c r="Y265" s="14" t="str">
        <f aca="true">IF(A265="","",IF(K265=0,IF(AND(H265&lt;&gt;"",TODAY()&gt;H265),"Vencida","Pendiente"),IF(K265&lt;J265,"Parcial","Completa")))</f>
        <v/>
      </c>
      <c r="Z265" s="16"/>
      <c r="AA265" s="13"/>
      <c r="AB265" s="14" t="str">
        <f aca="false">IF(W265="","Sin factura",IF(ABS(X265)&lt;=0.01,"OK","Revisar"))</f>
        <v>Sin factura</v>
      </c>
      <c r="AC265" s="13"/>
      <c r="AD265" s="14" t="str">
        <f aca="false">IF(A265="","",IF(L265="N","Producto no conforme",IF(M265="N","Falta registro sanitario",IF(OR(Y265="Parcial",Y265="Vencida"),IF(Z265="","Reprogramar recepción","Reprogramada "&amp;TEXT(Z265,"dd/mm")),IF(Y265="Pendiente","En espera",IF(U265="N","Completar documentos",IF(AB265="Revisar","Revisar importe facturado",IF(AC265&lt;&gt;"S","Registrar en Kontrollers","OK"))))))))</f>
        <v/>
      </c>
      <c r="AE265" s="13"/>
    </row>
    <row r="266" customFormat="false" ht="15" hidden="false" customHeight="false" outlineLevel="0" collapsed="false">
      <c r="A266" s="13"/>
      <c r="B266" s="16"/>
      <c r="C266" s="13"/>
      <c r="D266" s="13"/>
      <c r="E266" s="13"/>
      <c r="F266" s="13"/>
      <c r="G266" s="18"/>
      <c r="H266" s="16"/>
      <c r="I266" s="16"/>
      <c r="J266" s="17"/>
      <c r="K266" s="17"/>
      <c r="L266" s="13"/>
      <c r="M266" s="13"/>
      <c r="N266" s="13"/>
      <c r="O266" s="13"/>
      <c r="P266" s="13"/>
      <c r="Q266" s="14" t="str">
        <f aca="false">IF(B266="","",MONTH(B266))</f>
        <v/>
      </c>
      <c r="R266" s="20" t="str">
        <f aca="false">IF(OR(J266="",J266=0),"",MIN(1,K266/J266))</f>
        <v/>
      </c>
      <c r="S266" s="21" t="str">
        <f aca="true">IF(H266="","",IF(I266="",MAX(0,TODAY()-H266),MAX(0,I266-H266)))</f>
        <v/>
      </c>
      <c r="T266" s="14" t="str">
        <f aca="false">IF(OR(H266="",I266=""),"",IF(I266&lt;=H266,"S","N"))</f>
        <v/>
      </c>
      <c r="U266" s="14" t="str">
        <f aca="false">IF(A266="","",IF(AND(N266="S",O266="S",P266="S"),"S","N"))</f>
        <v/>
      </c>
      <c r="V266" s="13"/>
      <c r="W266" s="18"/>
      <c r="X266" s="19" t="str">
        <f aca="false">IF(W266="","",W266-G266)</f>
        <v/>
      </c>
      <c r="Y266" s="14" t="str">
        <f aca="true">IF(A266="","",IF(K266=0,IF(AND(H266&lt;&gt;"",TODAY()&gt;H266),"Vencida","Pendiente"),IF(K266&lt;J266,"Parcial","Completa")))</f>
        <v/>
      </c>
      <c r="Z266" s="16"/>
      <c r="AA266" s="13"/>
      <c r="AB266" s="14" t="str">
        <f aca="false">IF(W266="","Sin factura",IF(ABS(X266)&lt;=0.01,"OK","Revisar"))</f>
        <v>Sin factura</v>
      </c>
      <c r="AC266" s="13"/>
      <c r="AD266" s="14" t="str">
        <f aca="false">IF(A266="","",IF(L266="N","Producto no conforme",IF(M266="N","Falta registro sanitario",IF(OR(Y266="Parcial",Y266="Vencida"),IF(Z266="","Reprogramar recepción","Reprogramada "&amp;TEXT(Z266,"dd/mm")),IF(Y266="Pendiente","En espera",IF(U266="N","Completar documentos",IF(AB266="Revisar","Revisar importe facturado",IF(AC266&lt;&gt;"S","Registrar en Kontrollers","OK"))))))))</f>
        <v/>
      </c>
      <c r="AE266" s="13"/>
    </row>
    <row r="267" customFormat="false" ht="15" hidden="false" customHeight="false" outlineLevel="0" collapsed="false">
      <c r="A267" s="13"/>
      <c r="B267" s="16"/>
      <c r="C267" s="13"/>
      <c r="D267" s="13"/>
      <c r="E267" s="13"/>
      <c r="F267" s="13"/>
      <c r="G267" s="18"/>
      <c r="H267" s="16"/>
      <c r="I267" s="16"/>
      <c r="J267" s="17"/>
      <c r="K267" s="17"/>
      <c r="L267" s="13"/>
      <c r="M267" s="13"/>
      <c r="N267" s="13"/>
      <c r="O267" s="13"/>
      <c r="P267" s="13"/>
      <c r="Q267" s="14" t="str">
        <f aca="false">IF(B267="","",MONTH(B267))</f>
        <v/>
      </c>
      <c r="R267" s="20" t="str">
        <f aca="false">IF(OR(J267="",J267=0),"",MIN(1,K267/J267))</f>
        <v/>
      </c>
      <c r="S267" s="21" t="str">
        <f aca="true">IF(H267="","",IF(I267="",MAX(0,TODAY()-H267),MAX(0,I267-H267)))</f>
        <v/>
      </c>
      <c r="T267" s="14" t="str">
        <f aca="false">IF(OR(H267="",I267=""),"",IF(I267&lt;=H267,"S","N"))</f>
        <v/>
      </c>
      <c r="U267" s="14" t="str">
        <f aca="false">IF(A267="","",IF(AND(N267="S",O267="S",P267="S"),"S","N"))</f>
        <v/>
      </c>
      <c r="V267" s="13"/>
      <c r="W267" s="18"/>
      <c r="X267" s="19" t="str">
        <f aca="false">IF(W267="","",W267-G267)</f>
        <v/>
      </c>
      <c r="Y267" s="14" t="str">
        <f aca="true">IF(A267="","",IF(K267=0,IF(AND(H267&lt;&gt;"",TODAY()&gt;H267),"Vencida","Pendiente"),IF(K267&lt;J267,"Parcial","Completa")))</f>
        <v/>
      </c>
      <c r="Z267" s="16"/>
      <c r="AA267" s="13"/>
      <c r="AB267" s="14" t="str">
        <f aca="false">IF(W267="","Sin factura",IF(ABS(X267)&lt;=0.01,"OK","Revisar"))</f>
        <v>Sin factura</v>
      </c>
      <c r="AC267" s="13"/>
      <c r="AD267" s="14" t="str">
        <f aca="false">IF(A267="","",IF(L267="N","Producto no conforme",IF(M267="N","Falta registro sanitario",IF(OR(Y267="Parcial",Y267="Vencida"),IF(Z267="","Reprogramar recepción","Reprogramada "&amp;TEXT(Z267,"dd/mm")),IF(Y267="Pendiente","En espera",IF(U267="N","Completar documentos",IF(AB267="Revisar","Revisar importe facturado",IF(AC267&lt;&gt;"S","Registrar en Kontrollers","OK"))))))))</f>
        <v/>
      </c>
      <c r="AE267" s="13"/>
    </row>
    <row r="268" customFormat="false" ht="15" hidden="false" customHeight="false" outlineLevel="0" collapsed="false">
      <c r="A268" s="13"/>
      <c r="B268" s="16"/>
      <c r="C268" s="13"/>
      <c r="D268" s="13"/>
      <c r="E268" s="13"/>
      <c r="F268" s="13"/>
      <c r="G268" s="18"/>
      <c r="H268" s="16"/>
      <c r="I268" s="16"/>
      <c r="J268" s="17"/>
      <c r="K268" s="17"/>
      <c r="L268" s="13"/>
      <c r="M268" s="13"/>
      <c r="N268" s="13"/>
      <c r="O268" s="13"/>
      <c r="P268" s="13"/>
      <c r="Q268" s="14" t="str">
        <f aca="false">IF(B268="","",MONTH(B268))</f>
        <v/>
      </c>
      <c r="R268" s="20" t="str">
        <f aca="false">IF(OR(J268="",J268=0),"",MIN(1,K268/J268))</f>
        <v/>
      </c>
      <c r="S268" s="21" t="str">
        <f aca="true">IF(H268="","",IF(I268="",MAX(0,TODAY()-H268),MAX(0,I268-H268)))</f>
        <v/>
      </c>
      <c r="T268" s="14" t="str">
        <f aca="false">IF(OR(H268="",I268=""),"",IF(I268&lt;=H268,"S","N"))</f>
        <v/>
      </c>
      <c r="U268" s="14" t="str">
        <f aca="false">IF(A268="","",IF(AND(N268="S",O268="S",P268="S"),"S","N"))</f>
        <v/>
      </c>
      <c r="V268" s="13"/>
      <c r="W268" s="18"/>
      <c r="X268" s="19" t="str">
        <f aca="false">IF(W268="","",W268-G268)</f>
        <v/>
      </c>
      <c r="Y268" s="14" t="str">
        <f aca="true">IF(A268="","",IF(K268=0,IF(AND(H268&lt;&gt;"",TODAY()&gt;H268),"Vencida","Pendiente"),IF(K268&lt;J268,"Parcial","Completa")))</f>
        <v/>
      </c>
      <c r="Z268" s="16"/>
      <c r="AA268" s="13"/>
      <c r="AB268" s="14" t="str">
        <f aca="false">IF(W268="","Sin factura",IF(ABS(X268)&lt;=0.01,"OK","Revisar"))</f>
        <v>Sin factura</v>
      </c>
      <c r="AC268" s="13"/>
      <c r="AD268" s="14" t="str">
        <f aca="false">IF(A268="","",IF(L268="N","Producto no conforme",IF(M268="N","Falta registro sanitario",IF(OR(Y268="Parcial",Y268="Vencida"),IF(Z268="","Reprogramar recepción","Reprogramada "&amp;TEXT(Z268,"dd/mm")),IF(Y268="Pendiente","En espera",IF(U268="N","Completar documentos",IF(AB268="Revisar","Revisar importe facturado",IF(AC268&lt;&gt;"S","Registrar en Kontrollers","OK"))))))))</f>
        <v/>
      </c>
      <c r="AE268" s="13"/>
    </row>
    <row r="269" customFormat="false" ht="15" hidden="false" customHeight="false" outlineLevel="0" collapsed="false">
      <c r="A269" s="13"/>
      <c r="B269" s="16"/>
      <c r="C269" s="13"/>
      <c r="D269" s="13"/>
      <c r="E269" s="13"/>
      <c r="F269" s="13"/>
      <c r="G269" s="18"/>
      <c r="H269" s="16"/>
      <c r="I269" s="16"/>
      <c r="J269" s="17"/>
      <c r="K269" s="17"/>
      <c r="L269" s="13"/>
      <c r="M269" s="13"/>
      <c r="N269" s="13"/>
      <c r="O269" s="13"/>
      <c r="P269" s="13"/>
      <c r="Q269" s="14" t="str">
        <f aca="false">IF(B269="","",MONTH(B269))</f>
        <v/>
      </c>
      <c r="R269" s="20" t="str">
        <f aca="false">IF(OR(J269="",J269=0),"",MIN(1,K269/J269))</f>
        <v/>
      </c>
      <c r="S269" s="21" t="str">
        <f aca="true">IF(H269="","",IF(I269="",MAX(0,TODAY()-H269),MAX(0,I269-H269)))</f>
        <v/>
      </c>
      <c r="T269" s="14" t="str">
        <f aca="false">IF(OR(H269="",I269=""),"",IF(I269&lt;=H269,"S","N"))</f>
        <v/>
      </c>
      <c r="U269" s="14" t="str">
        <f aca="false">IF(A269="","",IF(AND(N269="S",O269="S",P269="S"),"S","N"))</f>
        <v/>
      </c>
      <c r="V269" s="13"/>
      <c r="W269" s="18"/>
      <c r="X269" s="19" t="str">
        <f aca="false">IF(W269="","",W269-G269)</f>
        <v/>
      </c>
      <c r="Y269" s="14" t="str">
        <f aca="true">IF(A269="","",IF(K269=0,IF(AND(H269&lt;&gt;"",TODAY()&gt;H269),"Vencida","Pendiente"),IF(K269&lt;J269,"Parcial","Completa")))</f>
        <v/>
      </c>
      <c r="Z269" s="16"/>
      <c r="AA269" s="13"/>
      <c r="AB269" s="14" t="str">
        <f aca="false">IF(W269="","Sin factura",IF(ABS(X269)&lt;=0.01,"OK","Revisar"))</f>
        <v>Sin factura</v>
      </c>
      <c r="AC269" s="13"/>
      <c r="AD269" s="14" t="str">
        <f aca="false">IF(A269="","",IF(L269="N","Producto no conforme",IF(M269="N","Falta registro sanitario",IF(OR(Y269="Parcial",Y269="Vencida"),IF(Z269="","Reprogramar recepción","Reprogramada "&amp;TEXT(Z269,"dd/mm")),IF(Y269="Pendiente","En espera",IF(U269="N","Completar documentos",IF(AB269="Revisar","Revisar importe facturado",IF(AC269&lt;&gt;"S","Registrar en Kontrollers","OK"))))))))</f>
        <v/>
      </c>
      <c r="AE269" s="13"/>
    </row>
    <row r="270" customFormat="false" ht="15" hidden="false" customHeight="false" outlineLevel="0" collapsed="false">
      <c r="A270" s="13"/>
      <c r="B270" s="16"/>
      <c r="C270" s="13"/>
      <c r="D270" s="13"/>
      <c r="E270" s="13"/>
      <c r="F270" s="13"/>
      <c r="G270" s="18"/>
      <c r="H270" s="16"/>
      <c r="I270" s="16"/>
      <c r="J270" s="17"/>
      <c r="K270" s="17"/>
      <c r="L270" s="13"/>
      <c r="M270" s="13"/>
      <c r="N270" s="13"/>
      <c r="O270" s="13"/>
      <c r="P270" s="13"/>
      <c r="Q270" s="14" t="str">
        <f aca="false">IF(B270="","",MONTH(B270))</f>
        <v/>
      </c>
      <c r="R270" s="20" t="str">
        <f aca="false">IF(OR(J270="",J270=0),"",MIN(1,K270/J270))</f>
        <v/>
      </c>
      <c r="S270" s="21" t="str">
        <f aca="true">IF(H270="","",IF(I270="",MAX(0,TODAY()-H270),MAX(0,I270-H270)))</f>
        <v/>
      </c>
      <c r="T270" s="14" t="str">
        <f aca="false">IF(OR(H270="",I270=""),"",IF(I270&lt;=H270,"S","N"))</f>
        <v/>
      </c>
      <c r="U270" s="14" t="str">
        <f aca="false">IF(A270="","",IF(AND(N270="S",O270="S",P270="S"),"S","N"))</f>
        <v/>
      </c>
      <c r="V270" s="13"/>
      <c r="W270" s="18"/>
      <c r="X270" s="19" t="str">
        <f aca="false">IF(W270="","",W270-G270)</f>
        <v/>
      </c>
      <c r="Y270" s="14" t="str">
        <f aca="true">IF(A270="","",IF(K270=0,IF(AND(H270&lt;&gt;"",TODAY()&gt;H270),"Vencida","Pendiente"),IF(K270&lt;J270,"Parcial","Completa")))</f>
        <v/>
      </c>
      <c r="Z270" s="16"/>
      <c r="AA270" s="13"/>
      <c r="AB270" s="14" t="str">
        <f aca="false">IF(W270="","Sin factura",IF(ABS(X270)&lt;=0.01,"OK","Revisar"))</f>
        <v>Sin factura</v>
      </c>
      <c r="AC270" s="13"/>
      <c r="AD270" s="14" t="str">
        <f aca="false">IF(A270="","",IF(L270="N","Producto no conforme",IF(M270="N","Falta registro sanitario",IF(OR(Y270="Parcial",Y270="Vencida"),IF(Z270="","Reprogramar recepción","Reprogramada "&amp;TEXT(Z270,"dd/mm")),IF(Y270="Pendiente","En espera",IF(U270="N","Completar documentos",IF(AB270="Revisar","Revisar importe facturado",IF(AC270&lt;&gt;"S","Registrar en Kontrollers","OK"))))))))</f>
        <v/>
      </c>
      <c r="AE270" s="13"/>
    </row>
    <row r="271" customFormat="false" ht="15" hidden="false" customHeight="false" outlineLevel="0" collapsed="false">
      <c r="A271" s="13"/>
      <c r="B271" s="16"/>
      <c r="C271" s="13"/>
      <c r="D271" s="13"/>
      <c r="E271" s="13"/>
      <c r="F271" s="13"/>
      <c r="G271" s="18"/>
      <c r="H271" s="16"/>
      <c r="I271" s="16"/>
      <c r="J271" s="17"/>
      <c r="K271" s="17"/>
      <c r="L271" s="13"/>
      <c r="M271" s="13"/>
      <c r="N271" s="13"/>
      <c r="O271" s="13"/>
      <c r="P271" s="13"/>
      <c r="Q271" s="14" t="str">
        <f aca="false">IF(B271="","",MONTH(B271))</f>
        <v/>
      </c>
      <c r="R271" s="20" t="str">
        <f aca="false">IF(OR(J271="",J271=0),"",MIN(1,K271/J271))</f>
        <v/>
      </c>
      <c r="S271" s="21" t="str">
        <f aca="true">IF(H271="","",IF(I271="",MAX(0,TODAY()-H271),MAX(0,I271-H271)))</f>
        <v/>
      </c>
      <c r="T271" s="14" t="str">
        <f aca="false">IF(OR(H271="",I271=""),"",IF(I271&lt;=H271,"S","N"))</f>
        <v/>
      </c>
      <c r="U271" s="14" t="str">
        <f aca="false">IF(A271="","",IF(AND(N271="S",O271="S",P271="S"),"S","N"))</f>
        <v/>
      </c>
      <c r="V271" s="13"/>
      <c r="W271" s="18"/>
      <c r="X271" s="19" t="str">
        <f aca="false">IF(W271="","",W271-G271)</f>
        <v/>
      </c>
      <c r="Y271" s="14" t="str">
        <f aca="true">IF(A271="","",IF(K271=0,IF(AND(H271&lt;&gt;"",TODAY()&gt;H271),"Vencida","Pendiente"),IF(K271&lt;J271,"Parcial","Completa")))</f>
        <v/>
      </c>
      <c r="Z271" s="16"/>
      <c r="AA271" s="13"/>
      <c r="AB271" s="14" t="str">
        <f aca="false">IF(W271="","Sin factura",IF(ABS(X271)&lt;=0.01,"OK","Revisar"))</f>
        <v>Sin factura</v>
      </c>
      <c r="AC271" s="13"/>
      <c r="AD271" s="14" t="str">
        <f aca="false">IF(A271="","",IF(L271="N","Producto no conforme",IF(M271="N","Falta registro sanitario",IF(OR(Y271="Parcial",Y271="Vencida"),IF(Z271="","Reprogramar recepción","Reprogramada "&amp;TEXT(Z271,"dd/mm")),IF(Y271="Pendiente","En espera",IF(U271="N","Completar documentos",IF(AB271="Revisar","Revisar importe facturado",IF(AC271&lt;&gt;"S","Registrar en Kontrollers","OK"))))))))</f>
        <v/>
      </c>
      <c r="AE271" s="13"/>
    </row>
    <row r="272" customFormat="false" ht="15" hidden="false" customHeight="false" outlineLevel="0" collapsed="false">
      <c r="A272" s="13"/>
      <c r="B272" s="16"/>
      <c r="C272" s="13"/>
      <c r="D272" s="13"/>
      <c r="E272" s="13"/>
      <c r="F272" s="13"/>
      <c r="G272" s="18"/>
      <c r="H272" s="16"/>
      <c r="I272" s="16"/>
      <c r="J272" s="17"/>
      <c r="K272" s="17"/>
      <c r="L272" s="13"/>
      <c r="M272" s="13"/>
      <c r="N272" s="13"/>
      <c r="O272" s="13"/>
      <c r="P272" s="13"/>
      <c r="Q272" s="14" t="str">
        <f aca="false">IF(B272="","",MONTH(B272))</f>
        <v/>
      </c>
      <c r="R272" s="20" t="str">
        <f aca="false">IF(OR(J272="",J272=0),"",MIN(1,K272/J272))</f>
        <v/>
      </c>
      <c r="S272" s="21" t="str">
        <f aca="true">IF(H272="","",IF(I272="",MAX(0,TODAY()-H272),MAX(0,I272-H272)))</f>
        <v/>
      </c>
      <c r="T272" s="14" t="str">
        <f aca="false">IF(OR(H272="",I272=""),"",IF(I272&lt;=H272,"S","N"))</f>
        <v/>
      </c>
      <c r="U272" s="14" t="str">
        <f aca="false">IF(A272="","",IF(AND(N272="S",O272="S",P272="S"),"S","N"))</f>
        <v/>
      </c>
      <c r="V272" s="13"/>
      <c r="W272" s="18"/>
      <c r="X272" s="19" t="str">
        <f aca="false">IF(W272="","",W272-G272)</f>
        <v/>
      </c>
      <c r="Y272" s="14" t="str">
        <f aca="true">IF(A272="","",IF(K272=0,IF(AND(H272&lt;&gt;"",TODAY()&gt;H272),"Vencida","Pendiente"),IF(K272&lt;J272,"Parcial","Completa")))</f>
        <v/>
      </c>
      <c r="Z272" s="16"/>
      <c r="AA272" s="13"/>
      <c r="AB272" s="14" t="str">
        <f aca="false">IF(W272="","Sin factura",IF(ABS(X272)&lt;=0.01,"OK","Revisar"))</f>
        <v>Sin factura</v>
      </c>
      <c r="AC272" s="13"/>
      <c r="AD272" s="14" t="str">
        <f aca="false">IF(A272="","",IF(L272="N","Producto no conforme",IF(M272="N","Falta registro sanitario",IF(OR(Y272="Parcial",Y272="Vencida"),IF(Z272="","Reprogramar recepción","Reprogramada "&amp;TEXT(Z272,"dd/mm")),IF(Y272="Pendiente","En espera",IF(U272="N","Completar documentos",IF(AB272="Revisar","Revisar importe facturado",IF(AC272&lt;&gt;"S","Registrar en Kontrollers","OK"))))))))</f>
        <v/>
      </c>
      <c r="AE272" s="13"/>
    </row>
    <row r="273" customFormat="false" ht="15" hidden="false" customHeight="false" outlineLevel="0" collapsed="false">
      <c r="A273" s="13"/>
      <c r="B273" s="16"/>
      <c r="C273" s="13"/>
      <c r="D273" s="13"/>
      <c r="E273" s="13"/>
      <c r="F273" s="13"/>
      <c r="G273" s="18"/>
      <c r="H273" s="16"/>
      <c r="I273" s="16"/>
      <c r="J273" s="17"/>
      <c r="K273" s="17"/>
      <c r="L273" s="13"/>
      <c r="M273" s="13"/>
      <c r="N273" s="13"/>
      <c r="O273" s="13"/>
      <c r="P273" s="13"/>
      <c r="Q273" s="14" t="str">
        <f aca="false">IF(B273="","",MONTH(B273))</f>
        <v/>
      </c>
      <c r="R273" s="20" t="str">
        <f aca="false">IF(OR(J273="",J273=0),"",MIN(1,K273/J273))</f>
        <v/>
      </c>
      <c r="S273" s="21" t="str">
        <f aca="true">IF(H273="","",IF(I273="",MAX(0,TODAY()-H273),MAX(0,I273-H273)))</f>
        <v/>
      </c>
      <c r="T273" s="14" t="str">
        <f aca="false">IF(OR(H273="",I273=""),"",IF(I273&lt;=H273,"S","N"))</f>
        <v/>
      </c>
      <c r="U273" s="14" t="str">
        <f aca="false">IF(A273="","",IF(AND(N273="S",O273="S",P273="S"),"S","N"))</f>
        <v/>
      </c>
      <c r="V273" s="13"/>
      <c r="W273" s="18"/>
      <c r="X273" s="19" t="str">
        <f aca="false">IF(W273="","",W273-G273)</f>
        <v/>
      </c>
      <c r="Y273" s="14" t="str">
        <f aca="true">IF(A273="","",IF(K273=0,IF(AND(H273&lt;&gt;"",TODAY()&gt;H273),"Vencida","Pendiente"),IF(K273&lt;J273,"Parcial","Completa")))</f>
        <v/>
      </c>
      <c r="Z273" s="16"/>
      <c r="AA273" s="13"/>
      <c r="AB273" s="14" t="str">
        <f aca="false">IF(W273="","Sin factura",IF(ABS(X273)&lt;=0.01,"OK","Revisar"))</f>
        <v>Sin factura</v>
      </c>
      <c r="AC273" s="13"/>
      <c r="AD273" s="14" t="str">
        <f aca="false">IF(A273="","",IF(L273="N","Producto no conforme",IF(M273="N","Falta registro sanitario",IF(OR(Y273="Parcial",Y273="Vencida"),IF(Z273="","Reprogramar recepción","Reprogramada "&amp;TEXT(Z273,"dd/mm")),IF(Y273="Pendiente","En espera",IF(U273="N","Completar documentos",IF(AB273="Revisar","Revisar importe facturado",IF(AC273&lt;&gt;"S","Registrar en Kontrollers","OK"))))))))</f>
        <v/>
      </c>
      <c r="AE273" s="13"/>
    </row>
    <row r="274" customFormat="false" ht="15" hidden="false" customHeight="false" outlineLevel="0" collapsed="false">
      <c r="A274" s="13"/>
      <c r="B274" s="16"/>
      <c r="C274" s="13"/>
      <c r="D274" s="13"/>
      <c r="E274" s="13"/>
      <c r="F274" s="13"/>
      <c r="G274" s="18"/>
      <c r="H274" s="16"/>
      <c r="I274" s="16"/>
      <c r="J274" s="17"/>
      <c r="K274" s="17"/>
      <c r="L274" s="13"/>
      <c r="M274" s="13"/>
      <c r="N274" s="13"/>
      <c r="O274" s="13"/>
      <c r="P274" s="13"/>
      <c r="Q274" s="14" t="str">
        <f aca="false">IF(B274="","",MONTH(B274))</f>
        <v/>
      </c>
      <c r="R274" s="20" t="str">
        <f aca="false">IF(OR(J274="",J274=0),"",MIN(1,K274/J274))</f>
        <v/>
      </c>
      <c r="S274" s="21" t="str">
        <f aca="true">IF(H274="","",IF(I274="",MAX(0,TODAY()-H274),MAX(0,I274-H274)))</f>
        <v/>
      </c>
      <c r="T274" s="14" t="str">
        <f aca="false">IF(OR(H274="",I274=""),"",IF(I274&lt;=H274,"S","N"))</f>
        <v/>
      </c>
      <c r="U274" s="14" t="str">
        <f aca="false">IF(A274="","",IF(AND(N274="S",O274="S",P274="S"),"S","N"))</f>
        <v/>
      </c>
      <c r="V274" s="13"/>
      <c r="W274" s="18"/>
      <c r="X274" s="19" t="str">
        <f aca="false">IF(W274="","",W274-G274)</f>
        <v/>
      </c>
      <c r="Y274" s="14" t="str">
        <f aca="true">IF(A274="","",IF(K274=0,IF(AND(H274&lt;&gt;"",TODAY()&gt;H274),"Vencida","Pendiente"),IF(K274&lt;J274,"Parcial","Completa")))</f>
        <v/>
      </c>
      <c r="Z274" s="16"/>
      <c r="AA274" s="13"/>
      <c r="AB274" s="14" t="str">
        <f aca="false">IF(W274="","Sin factura",IF(ABS(X274)&lt;=0.01,"OK","Revisar"))</f>
        <v>Sin factura</v>
      </c>
      <c r="AC274" s="13"/>
      <c r="AD274" s="14" t="str">
        <f aca="false">IF(A274="","",IF(L274="N","Producto no conforme",IF(M274="N","Falta registro sanitario",IF(OR(Y274="Parcial",Y274="Vencida"),IF(Z274="","Reprogramar recepción","Reprogramada "&amp;TEXT(Z274,"dd/mm")),IF(Y274="Pendiente","En espera",IF(U274="N","Completar documentos",IF(AB274="Revisar","Revisar importe facturado",IF(AC274&lt;&gt;"S","Registrar en Kontrollers","OK"))))))))</f>
        <v/>
      </c>
      <c r="AE274" s="13"/>
    </row>
    <row r="275" customFormat="false" ht="15" hidden="false" customHeight="false" outlineLevel="0" collapsed="false">
      <c r="A275" s="13"/>
      <c r="B275" s="16"/>
      <c r="C275" s="13"/>
      <c r="D275" s="13"/>
      <c r="E275" s="13"/>
      <c r="F275" s="13"/>
      <c r="G275" s="18"/>
      <c r="H275" s="16"/>
      <c r="I275" s="16"/>
      <c r="J275" s="17"/>
      <c r="K275" s="17"/>
      <c r="L275" s="13"/>
      <c r="M275" s="13"/>
      <c r="N275" s="13"/>
      <c r="O275" s="13"/>
      <c r="P275" s="13"/>
      <c r="Q275" s="14" t="str">
        <f aca="false">IF(B275="","",MONTH(B275))</f>
        <v/>
      </c>
      <c r="R275" s="20" t="str">
        <f aca="false">IF(OR(J275="",J275=0),"",MIN(1,K275/J275))</f>
        <v/>
      </c>
      <c r="S275" s="21" t="str">
        <f aca="true">IF(H275="","",IF(I275="",MAX(0,TODAY()-H275),MAX(0,I275-H275)))</f>
        <v/>
      </c>
      <c r="T275" s="14" t="str">
        <f aca="false">IF(OR(H275="",I275=""),"",IF(I275&lt;=H275,"S","N"))</f>
        <v/>
      </c>
      <c r="U275" s="14" t="str">
        <f aca="false">IF(A275="","",IF(AND(N275="S",O275="S",P275="S"),"S","N"))</f>
        <v/>
      </c>
      <c r="V275" s="13"/>
      <c r="W275" s="18"/>
      <c r="X275" s="19" t="str">
        <f aca="false">IF(W275="","",W275-G275)</f>
        <v/>
      </c>
      <c r="Y275" s="14" t="str">
        <f aca="true">IF(A275="","",IF(K275=0,IF(AND(H275&lt;&gt;"",TODAY()&gt;H275),"Vencida","Pendiente"),IF(K275&lt;J275,"Parcial","Completa")))</f>
        <v/>
      </c>
      <c r="Z275" s="16"/>
      <c r="AA275" s="13"/>
      <c r="AB275" s="14" t="str">
        <f aca="false">IF(W275="","Sin factura",IF(ABS(X275)&lt;=0.01,"OK","Revisar"))</f>
        <v>Sin factura</v>
      </c>
      <c r="AC275" s="13"/>
      <c r="AD275" s="14" t="str">
        <f aca="false">IF(A275="","",IF(L275="N","Producto no conforme",IF(M275="N","Falta registro sanitario",IF(OR(Y275="Parcial",Y275="Vencida"),IF(Z275="","Reprogramar recepción","Reprogramada "&amp;TEXT(Z275,"dd/mm")),IF(Y275="Pendiente","En espera",IF(U275="N","Completar documentos",IF(AB275="Revisar","Revisar importe facturado",IF(AC275&lt;&gt;"S","Registrar en Kontrollers","OK"))))))))</f>
        <v/>
      </c>
      <c r="AE275" s="13"/>
    </row>
    <row r="276" customFormat="false" ht="15" hidden="false" customHeight="false" outlineLevel="0" collapsed="false">
      <c r="A276" s="13"/>
      <c r="B276" s="16"/>
      <c r="C276" s="13"/>
      <c r="D276" s="13"/>
      <c r="E276" s="13"/>
      <c r="F276" s="13"/>
      <c r="G276" s="18"/>
      <c r="H276" s="16"/>
      <c r="I276" s="16"/>
      <c r="J276" s="17"/>
      <c r="K276" s="17"/>
      <c r="L276" s="13"/>
      <c r="M276" s="13"/>
      <c r="N276" s="13"/>
      <c r="O276" s="13"/>
      <c r="P276" s="13"/>
      <c r="Q276" s="14" t="str">
        <f aca="false">IF(B276="","",MONTH(B276))</f>
        <v/>
      </c>
      <c r="R276" s="20" t="str">
        <f aca="false">IF(OR(J276="",J276=0),"",MIN(1,K276/J276))</f>
        <v/>
      </c>
      <c r="S276" s="21" t="str">
        <f aca="true">IF(H276="","",IF(I276="",MAX(0,TODAY()-H276),MAX(0,I276-H276)))</f>
        <v/>
      </c>
      <c r="T276" s="14" t="str">
        <f aca="false">IF(OR(H276="",I276=""),"",IF(I276&lt;=H276,"S","N"))</f>
        <v/>
      </c>
      <c r="U276" s="14" t="str">
        <f aca="false">IF(A276="","",IF(AND(N276="S",O276="S",P276="S"),"S","N"))</f>
        <v/>
      </c>
      <c r="V276" s="13"/>
      <c r="W276" s="18"/>
      <c r="X276" s="19" t="str">
        <f aca="false">IF(W276="","",W276-G276)</f>
        <v/>
      </c>
      <c r="Y276" s="14" t="str">
        <f aca="true">IF(A276="","",IF(K276=0,IF(AND(H276&lt;&gt;"",TODAY()&gt;H276),"Vencida","Pendiente"),IF(K276&lt;J276,"Parcial","Completa")))</f>
        <v/>
      </c>
      <c r="Z276" s="16"/>
      <c r="AA276" s="13"/>
      <c r="AB276" s="14" t="str">
        <f aca="false">IF(W276="","Sin factura",IF(ABS(X276)&lt;=0.01,"OK","Revisar"))</f>
        <v>Sin factura</v>
      </c>
      <c r="AC276" s="13"/>
      <c r="AD276" s="14" t="str">
        <f aca="false">IF(A276="","",IF(L276="N","Producto no conforme",IF(M276="N","Falta registro sanitario",IF(OR(Y276="Parcial",Y276="Vencida"),IF(Z276="","Reprogramar recepción","Reprogramada "&amp;TEXT(Z276,"dd/mm")),IF(Y276="Pendiente","En espera",IF(U276="N","Completar documentos",IF(AB276="Revisar","Revisar importe facturado",IF(AC276&lt;&gt;"S","Registrar en Kontrollers","OK"))))))))</f>
        <v/>
      </c>
      <c r="AE276" s="13"/>
    </row>
    <row r="277" customFormat="false" ht="15" hidden="false" customHeight="false" outlineLevel="0" collapsed="false">
      <c r="A277" s="13"/>
      <c r="B277" s="16"/>
      <c r="C277" s="13"/>
      <c r="D277" s="13"/>
      <c r="E277" s="13"/>
      <c r="F277" s="13"/>
      <c r="G277" s="18"/>
      <c r="H277" s="16"/>
      <c r="I277" s="16"/>
      <c r="J277" s="17"/>
      <c r="K277" s="17"/>
      <c r="L277" s="13"/>
      <c r="M277" s="13"/>
      <c r="N277" s="13"/>
      <c r="O277" s="13"/>
      <c r="P277" s="13"/>
      <c r="Q277" s="14" t="str">
        <f aca="false">IF(B277="","",MONTH(B277))</f>
        <v/>
      </c>
      <c r="R277" s="20" t="str">
        <f aca="false">IF(OR(J277="",J277=0),"",MIN(1,K277/J277))</f>
        <v/>
      </c>
      <c r="S277" s="21" t="str">
        <f aca="true">IF(H277="","",IF(I277="",MAX(0,TODAY()-H277),MAX(0,I277-H277)))</f>
        <v/>
      </c>
      <c r="T277" s="14" t="str">
        <f aca="false">IF(OR(H277="",I277=""),"",IF(I277&lt;=H277,"S","N"))</f>
        <v/>
      </c>
      <c r="U277" s="14" t="str">
        <f aca="false">IF(A277="","",IF(AND(N277="S",O277="S",P277="S"),"S","N"))</f>
        <v/>
      </c>
      <c r="V277" s="13"/>
      <c r="W277" s="18"/>
      <c r="X277" s="19" t="str">
        <f aca="false">IF(W277="","",W277-G277)</f>
        <v/>
      </c>
      <c r="Y277" s="14" t="str">
        <f aca="true">IF(A277="","",IF(K277=0,IF(AND(H277&lt;&gt;"",TODAY()&gt;H277),"Vencida","Pendiente"),IF(K277&lt;J277,"Parcial","Completa")))</f>
        <v/>
      </c>
      <c r="Z277" s="16"/>
      <c r="AA277" s="13"/>
      <c r="AB277" s="14" t="str">
        <f aca="false">IF(W277="","Sin factura",IF(ABS(X277)&lt;=0.01,"OK","Revisar"))</f>
        <v>Sin factura</v>
      </c>
      <c r="AC277" s="13"/>
      <c r="AD277" s="14" t="str">
        <f aca="false">IF(A277="","",IF(L277="N","Producto no conforme",IF(M277="N","Falta registro sanitario",IF(OR(Y277="Parcial",Y277="Vencida"),IF(Z277="","Reprogramar recepción","Reprogramada "&amp;TEXT(Z277,"dd/mm")),IF(Y277="Pendiente","En espera",IF(U277="N","Completar documentos",IF(AB277="Revisar","Revisar importe facturado",IF(AC277&lt;&gt;"S","Registrar en Kontrollers","OK"))))))))</f>
        <v/>
      </c>
      <c r="AE277" s="13"/>
    </row>
    <row r="278" customFormat="false" ht="15" hidden="false" customHeight="false" outlineLevel="0" collapsed="false">
      <c r="A278" s="13"/>
      <c r="B278" s="16"/>
      <c r="C278" s="13"/>
      <c r="D278" s="13"/>
      <c r="E278" s="13"/>
      <c r="F278" s="13"/>
      <c r="G278" s="18"/>
      <c r="H278" s="16"/>
      <c r="I278" s="16"/>
      <c r="J278" s="17"/>
      <c r="K278" s="17"/>
      <c r="L278" s="13"/>
      <c r="M278" s="13"/>
      <c r="N278" s="13"/>
      <c r="O278" s="13"/>
      <c r="P278" s="13"/>
      <c r="Q278" s="14" t="str">
        <f aca="false">IF(B278="","",MONTH(B278))</f>
        <v/>
      </c>
      <c r="R278" s="20" t="str">
        <f aca="false">IF(OR(J278="",J278=0),"",MIN(1,K278/J278))</f>
        <v/>
      </c>
      <c r="S278" s="21" t="str">
        <f aca="true">IF(H278="","",IF(I278="",MAX(0,TODAY()-H278),MAX(0,I278-H278)))</f>
        <v/>
      </c>
      <c r="T278" s="14" t="str">
        <f aca="false">IF(OR(H278="",I278=""),"",IF(I278&lt;=H278,"S","N"))</f>
        <v/>
      </c>
      <c r="U278" s="14" t="str">
        <f aca="false">IF(A278="","",IF(AND(N278="S",O278="S",P278="S"),"S","N"))</f>
        <v/>
      </c>
      <c r="V278" s="13"/>
      <c r="W278" s="18"/>
      <c r="X278" s="19" t="str">
        <f aca="false">IF(W278="","",W278-G278)</f>
        <v/>
      </c>
      <c r="Y278" s="14" t="str">
        <f aca="true">IF(A278="","",IF(K278=0,IF(AND(H278&lt;&gt;"",TODAY()&gt;H278),"Vencida","Pendiente"),IF(K278&lt;J278,"Parcial","Completa")))</f>
        <v/>
      </c>
      <c r="Z278" s="16"/>
      <c r="AA278" s="13"/>
      <c r="AB278" s="14" t="str">
        <f aca="false">IF(W278="","Sin factura",IF(ABS(X278)&lt;=0.01,"OK","Revisar"))</f>
        <v>Sin factura</v>
      </c>
      <c r="AC278" s="13"/>
      <c r="AD278" s="14" t="str">
        <f aca="false">IF(A278="","",IF(L278="N","Producto no conforme",IF(M278="N","Falta registro sanitario",IF(OR(Y278="Parcial",Y278="Vencida"),IF(Z278="","Reprogramar recepción","Reprogramada "&amp;TEXT(Z278,"dd/mm")),IF(Y278="Pendiente","En espera",IF(U278="N","Completar documentos",IF(AB278="Revisar","Revisar importe facturado",IF(AC278&lt;&gt;"S","Registrar en Kontrollers","OK"))))))))</f>
        <v/>
      </c>
      <c r="AE278" s="13"/>
    </row>
    <row r="279" customFormat="false" ht="15" hidden="false" customHeight="false" outlineLevel="0" collapsed="false">
      <c r="A279" s="13"/>
      <c r="B279" s="16"/>
      <c r="C279" s="13"/>
      <c r="D279" s="13"/>
      <c r="E279" s="13"/>
      <c r="F279" s="13"/>
      <c r="G279" s="18"/>
      <c r="H279" s="16"/>
      <c r="I279" s="16"/>
      <c r="J279" s="17"/>
      <c r="K279" s="17"/>
      <c r="L279" s="13"/>
      <c r="M279" s="13"/>
      <c r="N279" s="13"/>
      <c r="O279" s="13"/>
      <c r="P279" s="13"/>
      <c r="Q279" s="14" t="str">
        <f aca="false">IF(B279="","",MONTH(B279))</f>
        <v/>
      </c>
      <c r="R279" s="20" t="str">
        <f aca="false">IF(OR(J279="",J279=0),"",MIN(1,K279/J279))</f>
        <v/>
      </c>
      <c r="S279" s="21" t="str">
        <f aca="true">IF(H279="","",IF(I279="",MAX(0,TODAY()-H279),MAX(0,I279-H279)))</f>
        <v/>
      </c>
      <c r="T279" s="14" t="str">
        <f aca="false">IF(OR(H279="",I279=""),"",IF(I279&lt;=H279,"S","N"))</f>
        <v/>
      </c>
      <c r="U279" s="14" t="str">
        <f aca="false">IF(A279="","",IF(AND(N279="S",O279="S",P279="S"),"S","N"))</f>
        <v/>
      </c>
      <c r="V279" s="13"/>
      <c r="W279" s="18"/>
      <c r="X279" s="19" t="str">
        <f aca="false">IF(W279="","",W279-G279)</f>
        <v/>
      </c>
      <c r="Y279" s="14" t="str">
        <f aca="true">IF(A279="","",IF(K279=0,IF(AND(H279&lt;&gt;"",TODAY()&gt;H279),"Vencida","Pendiente"),IF(K279&lt;J279,"Parcial","Completa")))</f>
        <v/>
      </c>
      <c r="Z279" s="16"/>
      <c r="AA279" s="13"/>
      <c r="AB279" s="14" t="str">
        <f aca="false">IF(W279="","Sin factura",IF(ABS(X279)&lt;=0.01,"OK","Revisar"))</f>
        <v>Sin factura</v>
      </c>
      <c r="AC279" s="13"/>
      <c r="AD279" s="14" t="str">
        <f aca="false">IF(A279="","",IF(L279="N","Producto no conforme",IF(M279="N","Falta registro sanitario",IF(OR(Y279="Parcial",Y279="Vencida"),IF(Z279="","Reprogramar recepción","Reprogramada "&amp;TEXT(Z279,"dd/mm")),IF(Y279="Pendiente","En espera",IF(U279="N","Completar documentos",IF(AB279="Revisar","Revisar importe facturado",IF(AC279&lt;&gt;"S","Registrar en Kontrollers","OK"))))))))</f>
        <v/>
      </c>
      <c r="AE279" s="13"/>
    </row>
    <row r="280" customFormat="false" ht="15" hidden="false" customHeight="false" outlineLevel="0" collapsed="false">
      <c r="A280" s="13"/>
      <c r="B280" s="16"/>
      <c r="C280" s="13"/>
      <c r="D280" s="13"/>
      <c r="E280" s="13"/>
      <c r="F280" s="13"/>
      <c r="G280" s="18"/>
      <c r="H280" s="16"/>
      <c r="I280" s="16"/>
      <c r="J280" s="17"/>
      <c r="K280" s="17"/>
      <c r="L280" s="13"/>
      <c r="M280" s="13"/>
      <c r="N280" s="13"/>
      <c r="O280" s="13"/>
      <c r="P280" s="13"/>
      <c r="Q280" s="14" t="str">
        <f aca="false">IF(B280="","",MONTH(B280))</f>
        <v/>
      </c>
      <c r="R280" s="20" t="str">
        <f aca="false">IF(OR(J280="",J280=0),"",MIN(1,K280/J280))</f>
        <v/>
      </c>
      <c r="S280" s="21" t="str">
        <f aca="true">IF(H280="","",IF(I280="",MAX(0,TODAY()-H280),MAX(0,I280-H280)))</f>
        <v/>
      </c>
      <c r="T280" s="14" t="str">
        <f aca="false">IF(OR(H280="",I280=""),"",IF(I280&lt;=H280,"S","N"))</f>
        <v/>
      </c>
      <c r="U280" s="14" t="str">
        <f aca="false">IF(A280="","",IF(AND(N280="S",O280="S",P280="S"),"S","N"))</f>
        <v/>
      </c>
      <c r="V280" s="13"/>
      <c r="W280" s="18"/>
      <c r="X280" s="19" t="str">
        <f aca="false">IF(W280="","",W280-G280)</f>
        <v/>
      </c>
      <c r="Y280" s="14" t="str">
        <f aca="true">IF(A280="","",IF(K280=0,IF(AND(H280&lt;&gt;"",TODAY()&gt;H280),"Vencida","Pendiente"),IF(K280&lt;J280,"Parcial","Completa")))</f>
        <v/>
      </c>
      <c r="Z280" s="16"/>
      <c r="AA280" s="13"/>
      <c r="AB280" s="14" t="str">
        <f aca="false">IF(W280="","Sin factura",IF(ABS(X280)&lt;=0.01,"OK","Revisar"))</f>
        <v>Sin factura</v>
      </c>
      <c r="AC280" s="13"/>
      <c r="AD280" s="14" t="str">
        <f aca="false">IF(A280="","",IF(L280="N","Producto no conforme",IF(M280="N","Falta registro sanitario",IF(OR(Y280="Parcial",Y280="Vencida"),IF(Z280="","Reprogramar recepción","Reprogramada "&amp;TEXT(Z280,"dd/mm")),IF(Y280="Pendiente","En espera",IF(U280="N","Completar documentos",IF(AB280="Revisar","Revisar importe facturado",IF(AC280&lt;&gt;"S","Registrar en Kontrollers","OK"))))))))</f>
        <v/>
      </c>
      <c r="AE280" s="13"/>
    </row>
    <row r="281" customFormat="false" ht="15" hidden="false" customHeight="false" outlineLevel="0" collapsed="false">
      <c r="A281" s="13"/>
      <c r="B281" s="16"/>
      <c r="C281" s="13"/>
      <c r="D281" s="13"/>
      <c r="E281" s="13"/>
      <c r="F281" s="13"/>
      <c r="G281" s="18"/>
      <c r="H281" s="16"/>
      <c r="I281" s="16"/>
      <c r="J281" s="17"/>
      <c r="K281" s="17"/>
      <c r="L281" s="13"/>
      <c r="M281" s="13"/>
      <c r="N281" s="13"/>
      <c r="O281" s="13"/>
      <c r="P281" s="13"/>
      <c r="Q281" s="14" t="str">
        <f aca="false">IF(B281="","",MONTH(B281))</f>
        <v/>
      </c>
      <c r="R281" s="20" t="str">
        <f aca="false">IF(OR(J281="",J281=0),"",MIN(1,K281/J281))</f>
        <v/>
      </c>
      <c r="S281" s="21" t="str">
        <f aca="true">IF(H281="","",IF(I281="",MAX(0,TODAY()-H281),MAX(0,I281-H281)))</f>
        <v/>
      </c>
      <c r="T281" s="14" t="str">
        <f aca="false">IF(OR(H281="",I281=""),"",IF(I281&lt;=H281,"S","N"))</f>
        <v/>
      </c>
      <c r="U281" s="14" t="str">
        <f aca="false">IF(A281="","",IF(AND(N281="S",O281="S",P281="S"),"S","N"))</f>
        <v/>
      </c>
      <c r="V281" s="13"/>
      <c r="W281" s="18"/>
      <c r="X281" s="19" t="str">
        <f aca="false">IF(W281="","",W281-G281)</f>
        <v/>
      </c>
      <c r="Y281" s="14" t="str">
        <f aca="true">IF(A281="","",IF(K281=0,IF(AND(H281&lt;&gt;"",TODAY()&gt;H281),"Vencida","Pendiente"),IF(K281&lt;J281,"Parcial","Completa")))</f>
        <v/>
      </c>
      <c r="Z281" s="16"/>
      <c r="AA281" s="13"/>
      <c r="AB281" s="14" t="str">
        <f aca="false">IF(W281="","Sin factura",IF(ABS(X281)&lt;=0.01,"OK","Revisar"))</f>
        <v>Sin factura</v>
      </c>
      <c r="AC281" s="13"/>
      <c r="AD281" s="14" t="str">
        <f aca="false">IF(A281="","",IF(L281="N","Producto no conforme",IF(M281="N","Falta registro sanitario",IF(OR(Y281="Parcial",Y281="Vencida"),IF(Z281="","Reprogramar recepción","Reprogramada "&amp;TEXT(Z281,"dd/mm")),IF(Y281="Pendiente","En espera",IF(U281="N","Completar documentos",IF(AB281="Revisar","Revisar importe facturado",IF(AC281&lt;&gt;"S","Registrar en Kontrollers","OK"))))))))</f>
        <v/>
      </c>
      <c r="AE281" s="13"/>
    </row>
    <row r="282" customFormat="false" ht="15" hidden="false" customHeight="false" outlineLevel="0" collapsed="false">
      <c r="A282" s="13"/>
      <c r="B282" s="16"/>
      <c r="C282" s="13"/>
      <c r="D282" s="13"/>
      <c r="E282" s="13"/>
      <c r="F282" s="13"/>
      <c r="G282" s="18"/>
      <c r="H282" s="16"/>
      <c r="I282" s="16"/>
      <c r="J282" s="17"/>
      <c r="K282" s="17"/>
      <c r="L282" s="13"/>
      <c r="M282" s="13"/>
      <c r="N282" s="13"/>
      <c r="O282" s="13"/>
      <c r="P282" s="13"/>
      <c r="Q282" s="14" t="str">
        <f aca="false">IF(B282="","",MONTH(B282))</f>
        <v/>
      </c>
      <c r="R282" s="20" t="str">
        <f aca="false">IF(OR(J282="",J282=0),"",MIN(1,K282/J282))</f>
        <v/>
      </c>
      <c r="S282" s="21" t="str">
        <f aca="true">IF(H282="","",IF(I282="",MAX(0,TODAY()-H282),MAX(0,I282-H282)))</f>
        <v/>
      </c>
      <c r="T282" s="14" t="str">
        <f aca="false">IF(OR(H282="",I282=""),"",IF(I282&lt;=H282,"S","N"))</f>
        <v/>
      </c>
      <c r="U282" s="14" t="str">
        <f aca="false">IF(A282="","",IF(AND(N282="S",O282="S",P282="S"),"S","N"))</f>
        <v/>
      </c>
      <c r="V282" s="13"/>
      <c r="W282" s="18"/>
      <c r="X282" s="19" t="str">
        <f aca="false">IF(W282="","",W282-G282)</f>
        <v/>
      </c>
      <c r="Y282" s="14" t="str">
        <f aca="true">IF(A282="","",IF(K282=0,IF(AND(H282&lt;&gt;"",TODAY()&gt;H282),"Vencida","Pendiente"),IF(K282&lt;J282,"Parcial","Completa")))</f>
        <v/>
      </c>
      <c r="Z282" s="16"/>
      <c r="AA282" s="13"/>
      <c r="AB282" s="14" t="str">
        <f aca="false">IF(W282="","Sin factura",IF(ABS(X282)&lt;=0.01,"OK","Revisar"))</f>
        <v>Sin factura</v>
      </c>
      <c r="AC282" s="13"/>
      <c r="AD282" s="14" t="str">
        <f aca="false">IF(A282="","",IF(L282="N","Producto no conforme",IF(M282="N","Falta registro sanitario",IF(OR(Y282="Parcial",Y282="Vencida"),IF(Z282="","Reprogramar recepción","Reprogramada "&amp;TEXT(Z282,"dd/mm")),IF(Y282="Pendiente","En espera",IF(U282="N","Completar documentos",IF(AB282="Revisar","Revisar importe facturado",IF(AC282&lt;&gt;"S","Registrar en Kontrollers","OK"))))))))</f>
        <v/>
      </c>
      <c r="AE282" s="13"/>
    </row>
    <row r="283" customFormat="false" ht="15" hidden="false" customHeight="false" outlineLevel="0" collapsed="false">
      <c r="A283" s="13"/>
      <c r="B283" s="16"/>
      <c r="C283" s="13"/>
      <c r="D283" s="13"/>
      <c r="E283" s="13"/>
      <c r="F283" s="13"/>
      <c r="G283" s="18"/>
      <c r="H283" s="16"/>
      <c r="I283" s="16"/>
      <c r="J283" s="17"/>
      <c r="K283" s="17"/>
      <c r="L283" s="13"/>
      <c r="M283" s="13"/>
      <c r="N283" s="13"/>
      <c r="O283" s="13"/>
      <c r="P283" s="13"/>
      <c r="Q283" s="14" t="str">
        <f aca="false">IF(B283="","",MONTH(B283))</f>
        <v/>
      </c>
      <c r="R283" s="20" t="str">
        <f aca="false">IF(OR(J283="",J283=0),"",MIN(1,K283/J283))</f>
        <v/>
      </c>
      <c r="S283" s="21" t="str">
        <f aca="true">IF(H283="","",IF(I283="",MAX(0,TODAY()-H283),MAX(0,I283-H283)))</f>
        <v/>
      </c>
      <c r="T283" s="14" t="str">
        <f aca="false">IF(OR(H283="",I283=""),"",IF(I283&lt;=H283,"S","N"))</f>
        <v/>
      </c>
      <c r="U283" s="14" t="str">
        <f aca="false">IF(A283="","",IF(AND(N283="S",O283="S",P283="S"),"S","N"))</f>
        <v/>
      </c>
      <c r="V283" s="13"/>
      <c r="W283" s="18"/>
      <c r="X283" s="19" t="str">
        <f aca="false">IF(W283="","",W283-G283)</f>
        <v/>
      </c>
      <c r="Y283" s="14" t="str">
        <f aca="true">IF(A283="","",IF(K283=0,IF(AND(H283&lt;&gt;"",TODAY()&gt;H283),"Vencida","Pendiente"),IF(K283&lt;J283,"Parcial","Completa")))</f>
        <v/>
      </c>
      <c r="Z283" s="16"/>
      <c r="AA283" s="13"/>
      <c r="AB283" s="14" t="str">
        <f aca="false">IF(W283="","Sin factura",IF(ABS(X283)&lt;=0.01,"OK","Revisar"))</f>
        <v>Sin factura</v>
      </c>
      <c r="AC283" s="13"/>
      <c r="AD283" s="14" t="str">
        <f aca="false">IF(A283="","",IF(L283="N","Producto no conforme",IF(M283="N","Falta registro sanitario",IF(OR(Y283="Parcial",Y283="Vencida"),IF(Z283="","Reprogramar recepción","Reprogramada "&amp;TEXT(Z283,"dd/mm")),IF(Y283="Pendiente","En espera",IF(U283="N","Completar documentos",IF(AB283="Revisar","Revisar importe facturado",IF(AC283&lt;&gt;"S","Registrar en Kontrollers","OK"))))))))</f>
        <v/>
      </c>
      <c r="AE283" s="13"/>
    </row>
    <row r="284" customFormat="false" ht="15" hidden="false" customHeight="false" outlineLevel="0" collapsed="false">
      <c r="A284" s="13"/>
      <c r="B284" s="16"/>
      <c r="C284" s="13"/>
      <c r="D284" s="13"/>
      <c r="E284" s="13"/>
      <c r="F284" s="13"/>
      <c r="G284" s="18"/>
      <c r="H284" s="16"/>
      <c r="I284" s="16"/>
      <c r="J284" s="17"/>
      <c r="K284" s="17"/>
      <c r="L284" s="13"/>
      <c r="M284" s="13"/>
      <c r="N284" s="13"/>
      <c r="O284" s="13"/>
      <c r="P284" s="13"/>
      <c r="Q284" s="14" t="str">
        <f aca="false">IF(B284="","",MONTH(B284))</f>
        <v/>
      </c>
      <c r="R284" s="20" t="str">
        <f aca="false">IF(OR(J284="",J284=0),"",MIN(1,K284/J284))</f>
        <v/>
      </c>
      <c r="S284" s="21" t="str">
        <f aca="true">IF(H284="","",IF(I284="",MAX(0,TODAY()-H284),MAX(0,I284-H284)))</f>
        <v/>
      </c>
      <c r="T284" s="14" t="str">
        <f aca="false">IF(OR(H284="",I284=""),"",IF(I284&lt;=H284,"S","N"))</f>
        <v/>
      </c>
      <c r="U284" s="14" t="str">
        <f aca="false">IF(A284="","",IF(AND(N284="S",O284="S",P284="S"),"S","N"))</f>
        <v/>
      </c>
      <c r="V284" s="13"/>
      <c r="W284" s="18"/>
      <c r="X284" s="19" t="str">
        <f aca="false">IF(W284="","",W284-G284)</f>
        <v/>
      </c>
      <c r="Y284" s="14" t="str">
        <f aca="true">IF(A284="","",IF(K284=0,IF(AND(H284&lt;&gt;"",TODAY()&gt;H284),"Vencida","Pendiente"),IF(K284&lt;J284,"Parcial","Completa")))</f>
        <v/>
      </c>
      <c r="Z284" s="16"/>
      <c r="AA284" s="13"/>
      <c r="AB284" s="14" t="str">
        <f aca="false">IF(W284="","Sin factura",IF(ABS(X284)&lt;=0.01,"OK","Revisar"))</f>
        <v>Sin factura</v>
      </c>
      <c r="AC284" s="13"/>
      <c r="AD284" s="14" t="str">
        <f aca="false">IF(A284="","",IF(L284="N","Producto no conforme",IF(M284="N","Falta registro sanitario",IF(OR(Y284="Parcial",Y284="Vencida"),IF(Z284="","Reprogramar recepción","Reprogramada "&amp;TEXT(Z284,"dd/mm")),IF(Y284="Pendiente","En espera",IF(U284="N","Completar documentos",IF(AB284="Revisar","Revisar importe facturado",IF(AC284&lt;&gt;"S","Registrar en Kontrollers","OK"))))))))</f>
        <v/>
      </c>
      <c r="AE284" s="13"/>
    </row>
    <row r="285" customFormat="false" ht="15" hidden="false" customHeight="false" outlineLevel="0" collapsed="false">
      <c r="A285" s="13"/>
      <c r="B285" s="16"/>
      <c r="C285" s="13"/>
      <c r="D285" s="13"/>
      <c r="E285" s="13"/>
      <c r="F285" s="13"/>
      <c r="G285" s="18"/>
      <c r="H285" s="16"/>
      <c r="I285" s="16"/>
      <c r="J285" s="17"/>
      <c r="K285" s="17"/>
      <c r="L285" s="13"/>
      <c r="M285" s="13"/>
      <c r="N285" s="13"/>
      <c r="O285" s="13"/>
      <c r="P285" s="13"/>
      <c r="Q285" s="14" t="str">
        <f aca="false">IF(B285="","",MONTH(B285))</f>
        <v/>
      </c>
      <c r="R285" s="20" t="str">
        <f aca="false">IF(OR(J285="",J285=0),"",MIN(1,K285/J285))</f>
        <v/>
      </c>
      <c r="S285" s="21" t="str">
        <f aca="true">IF(H285="","",IF(I285="",MAX(0,TODAY()-H285),MAX(0,I285-H285)))</f>
        <v/>
      </c>
      <c r="T285" s="14" t="str">
        <f aca="false">IF(OR(H285="",I285=""),"",IF(I285&lt;=H285,"S","N"))</f>
        <v/>
      </c>
      <c r="U285" s="14" t="str">
        <f aca="false">IF(A285="","",IF(AND(N285="S",O285="S",P285="S"),"S","N"))</f>
        <v/>
      </c>
      <c r="V285" s="13"/>
      <c r="W285" s="18"/>
      <c r="X285" s="19" t="str">
        <f aca="false">IF(W285="","",W285-G285)</f>
        <v/>
      </c>
      <c r="Y285" s="14" t="str">
        <f aca="true">IF(A285="","",IF(K285=0,IF(AND(H285&lt;&gt;"",TODAY()&gt;H285),"Vencida","Pendiente"),IF(K285&lt;J285,"Parcial","Completa")))</f>
        <v/>
      </c>
      <c r="Z285" s="16"/>
      <c r="AA285" s="13"/>
      <c r="AB285" s="14" t="str">
        <f aca="false">IF(W285="","Sin factura",IF(ABS(X285)&lt;=0.01,"OK","Revisar"))</f>
        <v>Sin factura</v>
      </c>
      <c r="AC285" s="13"/>
      <c r="AD285" s="14" t="str">
        <f aca="false">IF(A285="","",IF(L285="N","Producto no conforme",IF(M285="N","Falta registro sanitario",IF(OR(Y285="Parcial",Y285="Vencida"),IF(Z285="","Reprogramar recepción","Reprogramada "&amp;TEXT(Z285,"dd/mm")),IF(Y285="Pendiente","En espera",IF(U285="N","Completar documentos",IF(AB285="Revisar","Revisar importe facturado",IF(AC285&lt;&gt;"S","Registrar en Kontrollers","OK"))))))))</f>
        <v/>
      </c>
      <c r="AE285" s="13"/>
    </row>
    <row r="286" customFormat="false" ht="15" hidden="false" customHeight="false" outlineLevel="0" collapsed="false">
      <c r="A286" s="13"/>
      <c r="B286" s="16"/>
      <c r="C286" s="13"/>
      <c r="D286" s="13"/>
      <c r="E286" s="13"/>
      <c r="F286" s="13"/>
      <c r="G286" s="18"/>
      <c r="H286" s="16"/>
      <c r="I286" s="16"/>
      <c r="J286" s="17"/>
      <c r="K286" s="17"/>
      <c r="L286" s="13"/>
      <c r="M286" s="13"/>
      <c r="N286" s="13"/>
      <c r="O286" s="13"/>
      <c r="P286" s="13"/>
      <c r="Q286" s="14" t="str">
        <f aca="false">IF(B286="","",MONTH(B286))</f>
        <v/>
      </c>
      <c r="R286" s="20" t="str">
        <f aca="false">IF(OR(J286="",J286=0),"",MIN(1,K286/J286))</f>
        <v/>
      </c>
      <c r="S286" s="21" t="str">
        <f aca="true">IF(H286="","",IF(I286="",MAX(0,TODAY()-H286),MAX(0,I286-H286)))</f>
        <v/>
      </c>
      <c r="T286" s="14" t="str">
        <f aca="false">IF(OR(H286="",I286=""),"",IF(I286&lt;=H286,"S","N"))</f>
        <v/>
      </c>
      <c r="U286" s="14" t="str">
        <f aca="false">IF(A286="","",IF(AND(N286="S",O286="S",P286="S"),"S","N"))</f>
        <v/>
      </c>
      <c r="V286" s="13"/>
      <c r="W286" s="18"/>
      <c r="X286" s="19" t="str">
        <f aca="false">IF(W286="","",W286-G286)</f>
        <v/>
      </c>
      <c r="Y286" s="14" t="str">
        <f aca="true">IF(A286="","",IF(K286=0,IF(AND(H286&lt;&gt;"",TODAY()&gt;H286),"Vencida","Pendiente"),IF(K286&lt;J286,"Parcial","Completa")))</f>
        <v/>
      </c>
      <c r="Z286" s="16"/>
      <c r="AA286" s="13"/>
      <c r="AB286" s="14" t="str">
        <f aca="false">IF(W286="","Sin factura",IF(ABS(X286)&lt;=0.01,"OK","Revisar"))</f>
        <v>Sin factura</v>
      </c>
      <c r="AC286" s="13"/>
      <c r="AD286" s="14" t="str">
        <f aca="false">IF(A286="","",IF(L286="N","Producto no conforme",IF(M286="N","Falta registro sanitario",IF(OR(Y286="Parcial",Y286="Vencida"),IF(Z286="","Reprogramar recepción","Reprogramada "&amp;TEXT(Z286,"dd/mm")),IF(Y286="Pendiente","En espera",IF(U286="N","Completar documentos",IF(AB286="Revisar","Revisar importe facturado",IF(AC286&lt;&gt;"S","Registrar en Kontrollers","OK"))))))))</f>
        <v/>
      </c>
      <c r="AE286" s="13"/>
    </row>
    <row r="287" customFormat="false" ht="15" hidden="false" customHeight="false" outlineLevel="0" collapsed="false">
      <c r="A287" s="13"/>
      <c r="B287" s="16"/>
      <c r="C287" s="13"/>
      <c r="D287" s="13"/>
      <c r="E287" s="13"/>
      <c r="F287" s="13"/>
      <c r="G287" s="18"/>
      <c r="H287" s="16"/>
      <c r="I287" s="16"/>
      <c r="J287" s="17"/>
      <c r="K287" s="17"/>
      <c r="L287" s="13"/>
      <c r="M287" s="13"/>
      <c r="N287" s="13"/>
      <c r="O287" s="13"/>
      <c r="P287" s="13"/>
      <c r="Q287" s="14" t="str">
        <f aca="false">IF(B287="","",MONTH(B287))</f>
        <v/>
      </c>
      <c r="R287" s="20" t="str">
        <f aca="false">IF(OR(J287="",J287=0),"",MIN(1,K287/J287))</f>
        <v/>
      </c>
      <c r="S287" s="21" t="str">
        <f aca="true">IF(H287="","",IF(I287="",MAX(0,TODAY()-H287),MAX(0,I287-H287)))</f>
        <v/>
      </c>
      <c r="T287" s="14" t="str">
        <f aca="false">IF(OR(H287="",I287=""),"",IF(I287&lt;=H287,"S","N"))</f>
        <v/>
      </c>
      <c r="U287" s="14" t="str">
        <f aca="false">IF(A287="","",IF(AND(N287="S",O287="S",P287="S"),"S","N"))</f>
        <v/>
      </c>
      <c r="V287" s="13"/>
      <c r="W287" s="18"/>
      <c r="X287" s="19" t="str">
        <f aca="false">IF(W287="","",W287-G287)</f>
        <v/>
      </c>
      <c r="Y287" s="14" t="str">
        <f aca="true">IF(A287="","",IF(K287=0,IF(AND(H287&lt;&gt;"",TODAY()&gt;H287),"Vencida","Pendiente"),IF(K287&lt;J287,"Parcial","Completa")))</f>
        <v/>
      </c>
      <c r="Z287" s="16"/>
      <c r="AA287" s="13"/>
      <c r="AB287" s="14" t="str">
        <f aca="false">IF(W287="","Sin factura",IF(ABS(X287)&lt;=0.01,"OK","Revisar"))</f>
        <v>Sin factura</v>
      </c>
      <c r="AC287" s="13"/>
      <c r="AD287" s="14" t="str">
        <f aca="false">IF(A287="","",IF(L287="N","Producto no conforme",IF(M287="N","Falta registro sanitario",IF(OR(Y287="Parcial",Y287="Vencida"),IF(Z287="","Reprogramar recepción","Reprogramada "&amp;TEXT(Z287,"dd/mm")),IF(Y287="Pendiente","En espera",IF(U287="N","Completar documentos",IF(AB287="Revisar","Revisar importe facturado",IF(AC287&lt;&gt;"S","Registrar en Kontrollers","OK"))))))))</f>
        <v/>
      </c>
      <c r="AE287" s="13"/>
    </row>
    <row r="288" customFormat="false" ht="15" hidden="false" customHeight="false" outlineLevel="0" collapsed="false">
      <c r="A288" s="13"/>
      <c r="B288" s="16"/>
      <c r="C288" s="13"/>
      <c r="D288" s="13"/>
      <c r="E288" s="13"/>
      <c r="F288" s="13"/>
      <c r="G288" s="18"/>
      <c r="H288" s="16"/>
      <c r="I288" s="16"/>
      <c r="J288" s="17"/>
      <c r="K288" s="17"/>
      <c r="L288" s="13"/>
      <c r="M288" s="13"/>
      <c r="N288" s="13"/>
      <c r="O288" s="13"/>
      <c r="P288" s="13"/>
      <c r="Q288" s="14" t="str">
        <f aca="false">IF(B288="","",MONTH(B288))</f>
        <v/>
      </c>
      <c r="R288" s="20" t="str">
        <f aca="false">IF(OR(J288="",J288=0),"",MIN(1,K288/J288))</f>
        <v/>
      </c>
      <c r="S288" s="21" t="str">
        <f aca="true">IF(H288="","",IF(I288="",MAX(0,TODAY()-H288),MAX(0,I288-H288)))</f>
        <v/>
      </c>
      <c r="T288" s="14" t="str">
        <f aca="false">IF(OR(H288="",I288=""),"",IF(I288&lt;=H288,"S","N"))</f>
        <v/>
      </c>
      <c r="U288" s="14" t="str">
        <f aca="false">IF(A288="","",IF(AND(N288="S",O288="S",P288="S"),"S","N"))</f>
        <v/>
      </c>
      <c r="V288" s="13"/>
      <c r="W288" s="18"/>
      <c r="X288" s="19" t="str">
        <f aca="false">IF(W288="","",W288-G288)</f>
        <v/>
      </c>
      <c r="Y288" s="14" t="str">
        <f aca="true">IF(A288="","",IF(K288=0,IF(AND(H288&lt;&gt;"",TODAY()&gt;H288),"Vencida","Pendiente"),IF(K288&lt;J288,"Parcial","Completa")))</f>
        <v/>
      </c>
      <c r="Z288" s="16"/>
      <c r="AA288" s="13"/>
      <c r="AB288" s="14" t="str">
        <f aca="false">IF(W288="","Sin factura",IF(ABS(X288)&lt;=0.01,"OK","Revisar"))</f>
        <v>Sin factura</v>
      </c>
      <c r="AC288" s="13"/>
      <c r="AD288" s="14" t="str">
        <f aca="false">IF(A288="","",IF(L288="N","Producto no conforme",IF(M288="N","Falta registro sanitario",IF(OR(Y288="Parcial",Y288="Vencida"),IF(Z288="","Reprogramar recepción","Reprogramada "&amp;TEXT(Z288,"dd/mm")),IF(Y288="Pendiente","En espera",IF(U288="N","Completar documentos",IF(AB288="Revisar","Revisar importe facturado",IF(AC288&lt;&gt;"S","Registrar en Kontrollers","OK"))))))))</f>
        <v/>
      </c>
      <c r="AE288" s="13"/>
    </row>
    <row r="289" customFormat="false" ht="15" hidden="false" customHeight="false" outlineLevel="0" collapsed="false">
      <c r="A289" s="13"/>
      <c r="B289" s="16"/>
      <c r="C289" s="13"/>
      <c r="D289" s="13"/>
      <c r="E289" s="13"/>
      <c r="F289" s="13"/>
      <c r="G289" s="18"/>
      <c r="H289" s="16"/>
      <c r="I289" s="16"/>
      <c r="J289" s="17"/>
      <c r="K289" s="17"/>
      <c r="L289" s="13"/>
      <c r="M289" s="13"/>
      <c r="N289" s="13"/>
      <c r="O289" s="13"/>
      <c r="P289" s="13"/>
      <c r="Q289" s="14" t="str">
        <f aca="false">IF(B289="","",MONTH(B289))</f>
        <v/>
      </c>
      <c r="R289" s="20" t="str">
        <f aca="false">IF(OR(J289="",J289=0),"",MIN(1,K289/J289))</f>
        <v/>
      </c>
      <c r="S289" s="21" t="str">
        <f aca="true">IF(H289="","",IF(I289="",MAX(0,TODAY()-H289),MAX(0,I289-H289)))</f>
        <v/>
      </c>
      <c r="T289" s="14" t="str">
        <f aca="false">IF(OR(H289="",I289=""),"",IF(I289&lt;=H289,"S","N"))</f>
        <v/>
      </c>
      <c r="U289" s="14" t="str">
        <f aca="false">IF(A289="","",IF(AND(N289="S",O289="S",P289="S"),"S","N"))</f>
        <v/>
      </c>
      <c r="V289" s="13"/>
      <c r="W289" s="18"/>
      <c r="X289" s="19" t="str">
        <f aca="false">IF(W289="","",W289-G289)</f>
        <v/>
      </c>
      <c r="Y289" s="14" t="str">
        <f aca="true">IF(A289="","",IF(K289=0,IF(AND(H289&lt;&gt;"",TODAY()&gt;H289),"Vencida","Pendiente"),IF(K289&lt;J289,"Parcial","Completa")))</f>
        <v/>
      </c>
      <c r="Z289" s="16"/>
      <c r="AA289" s="13"/>
      <c r="AB289" s="14" t="str">
        <f aca="false">IF(W289="","Sin factura",IF(ABS(X289)&lt;=0.01,"OK","Revisar"))</f>
        <v>Sin factura</v>
      </c>
      <c r="AC289" s="13"/>
      <c r="AD289" s="14" t="str">
        <f aca="false">IF(A289="","",IF(L289="N","Producto no conforme",IF(M289="N","Falta registro sanitario",IF(OR(Y289="Parcial",Y289="Vencida"),IF(Z289="","Reprogramar recepción","Reprogramada "&amp;TEXT(Z289,"dd/mm")),IF(Y289="Pendiente","En espera",IF(U289="N","Completar documentos",IF(AB289="Revisar","Revisar importe facturado",IF(AC289&lt;&gt;"S","Registrar en Kontrollers","OK"))))))))</f>
        <v/>
      </c>
      <c r="AE289" s="13"/>
    </row>
    <row r="290" customFormat="false" ht="15" hidden="false" customHeight="false" outlineLevel="0" collapsed="false">
      <c r="A290" s="13"/>
      <c r="B290" s="16"/>
      <c r="C290" s="13"/>
      <c r="D290" s="13"/>
      <c r="E290" s="13"/>
      <c r="F290" s="13"/>
      <c r="G290" s="18"/>
      <c r="H290" s="16"/>
      <c r="I290" s="16"/>
      <c r="J290" s="17"/>
      <c r="K290" s="17"/>
      <c r="L290" s="13"/>
      <c r="M290" s="13"/>
      <c r="N290" s="13"/>
      <c r="O290" s="13"/>
      <c r="P290" s="13"/>
      <c r="Q290" s="14" t="str">
        <f aca="false">IF(B290="","",MONTH(B290))</f>
        <v/>
      </c>
      <c r="R290" s="20" t="str">
        <f aca="false">IF(OR(J290="",J290=0),"",MIN(1,K290/J290))</f>
        <v/>
      </c>
      <c r="S290" s="21" t="str">
        <f aca="true">IF(H290="","",IF(I290="",MAX(0,TODAY()-H290),MAX(0,I290-H290)))</f>
        <v/>
      </c>
      <c r="T290" s="14" t="str">
        <f aca="false">IF(OR(H290="",I290=""),"",IF(I290&lt;=H290,"S","N"))</f>
        <v/>
      </c>
      <c r="U290" s="14" t="str">
        <f aca="false">IF(A290="","",IF(AND(N290="S",O290="S",P290="S"),"S","N"))</f>
        <v/>
      </c>
      <c r="V290" s="13"/>
      <c r="W290" s="18"/>
      <c r="X290" s="19" t="str">
        <f aca="false">IF(W290="","",W290-G290)</f>
        <v/>
      </c>
      <c r="Y290" s="14" t="str">
        <f aca="true">IF(A290="","",IF(K290=0,IF(AND(H290&lt;&gt;"",TODAY()&gt;H290),"Vencida","Pendiente"),IF(K290&lt;J290,"Parcial","Completa")))</f>
        <v/>
      </c>
      <c r="Z290" s="16"/>
      <c r="AA290" s="13"/>
      <c r="AB290" s="14" t="str">
        <f aca="false">IF(W290="","Sin factura",IF(ABS(X290)&lt;=0.01,"OK","Revisar"))</f>
        <v>Sin factura</v>
      </c>
      <c r="AC290" s="13"/>
      <c r="AD290" s="14" t="str">
        <f aca="false">IF(A290="","",IF(L290="N","Producto no conforme",IF(M290="N","Falta registro sanitario",IF(OR(Y290="Parcial",Y290="Vencida"),IF(Z290="","Reprogramar recepción","Reprogramada "&amp;TEXT(Z290,"dd/mm")),IF(Y290="Pendiente","En espera",IF(U290="N","Completar documentos",IF(AB290="Revisar","Revisar importe facturado",IF(AC290&lt;&gt;"S","Registrar en Kontrollers","OK"))))))))</f>
        <v/>
      </c>
      <c r="AE290" s="13"/>
    </row>
    <row r="291" customFormat="false" ht="15" hidden="false" customHeight="false" outlineLevel="0" collapsed="false">
      <c r="A291" s="13"/>
      <c r="B291" s="16"/>
      <c r="C291" s="13"/>
      <c r="D291" s="13"/>
      <c r="E291" s="13"/>
      <c r="F291" s="13"/>
      <c r="G291" s="18"/>
      <c r="H291" s="16"/>
      <c r="I291" s="16"/>
      <c r="J291" s="17"/>
      <c r="K291" s="17"/>
      <c r="L291" s="13"/>
      <c r="M291" s="13"/>
      <c r="N291" s="13"/>
      <c r="O291" s="13"/>
      <c r="P291" s="13"/>
      <c r="Q291" s="14" t="str">
        <f aca="false">IF(B291="","",MONTH(B291))</f>
        <v/>
      </c>
      <c r="R291" s="20" t="str">
        <f aca="false">IF(OR(J291="",J291=0),"",MIN(1,K291/J291))</f>
        <v/>
      </c>
      <c r="S291" s="21" t="str">
        <f aca="true">IF(H291="","",IF(I291="",MAX(0,TODAY()-H291),MAX(0,I291-H291)))</f>
        <v/>
      </c>
      <c r="T291" s="14" t="str">
        <f aca="false">IF(OR(H291="",I291=""),"",IF(I291&lt;=H291,"S","N"))</f>
        <v/>
      </c>
      <c r="U291" s="14" t="str">
        <f aca="false">IF(A291="","",IF(AND(N291="S",O291="S",P291="S"),"S","N"))</f>
        <v/>
      </c>
      <c r="V291" s="13"/>
      <c r="W291" s="18"/>
      <c r="X291" s="19" t="str">
        <f aca="false">IF(W291="","",W291-G291)</f>
        <v/>
      </c>
      <c r="Y291" s="14" t="str">
        <f aca="true">IF(A291="","",IF(K291=0,IF(AND(H291&lt;&gt;"",TODAY()&gt;H291),"Vencida","Pendiente"),IF(K291&lt;J291,"Parcial","Completa")))</f>
        <v/>
      </c>
      <c r="Z291" s="16"/>
      <c r="AA291" s="13"/>
      <c r="AB291" s="14" t="str">
        <f aca="false">IF(W291="","Sin factura",IF(ABS(X291)&lt;=0.01,"OK","Revisar"))</f>
        <v>Sin factura</v>
      </c>
      <c r="AC291" s="13"/>
      <c r="AD291" s="14" t="str">
        <f aca="false">IF(A291="","",IF(L291="N","Producto no conforme",IF(M291="N","Falta registro sanitario",IF(OR(Y291="Parcial",Y291="Vencida"),IF(Z291="","Reprogramar recepción","Reprogramada "&amp;TEXT(Z291,"dd/mm")),IF(Y291="Pendiente","En espera",IF(U291="N","Completar documentos",IF(AB291="Revisar","Revisar importe facturado",IF(AC291&lt;&gt;"S","Registrar en Kontrollers","OK"))))))))</f>
        <v/>
      </c>
      <c r="AE291" s="13"/>
    </row>
    <row r="292" customFormat="false" ht="15" hidden="false" customHeight="false" outlineLevel="0" collapsed="false">
      <c r="A292" s="13"/>
      <c r="B292" s="16"/>
      <c r="C292" s="13"/>
      <c r="D292" s="13"/>
      <c r="E292" s="13"/>
      <c r="F292" s="13"/>
      <c r="G292" s="18"/>
      <c r="H292" s="16"/>
      <c r="I292" s="16"/>
      <c r="J292" s="17"/>
      <c r="K292" s="17"/>
      <c r="L292" s="13"/>
      <c r="M292" s="13"/>
      <c r="N292" s="13"/>
      <c r="O292" s="13"/>
      <c r="P292" s="13"/>
      <c r="Q292" s="14" t="str">
        <f aca="false">IF(B292="","",MONTH(B292))</f>
        <v/>
      </c>
      <c r="R292" s="20" t="str">
        <f aca="false">IF(OR(J292="",J292=0),"",MIN(1,K292/J292))</f>
        <v/>
      </c>
      <c r="S292" s="21" t="str">
        <f aca="true">IF(H292="","",IF(I292="",MAX(0,TODAY()-H292),MAX(0,I292-H292)))</f>
        <v/>
      </c>
      <c r="T292" s="14" t="str">
        <f aca="false">IF(OR(H292="",I292=""),"",IF(I292&lt;=H292,"S","N"))</f>
        <v/>
      </c>
      <c r="U292" s="14" t="str">
        <f aca="false">IF(A292="","",IF(AND(N292="S",O292="S",P292="S"),"S","N"))</f>
        <v/>
      </c>
      <c r="V292" s="13"/>
      <c r="W292" s="18"/>
      <c r="X292" s="19" t="str">
        <f aca="false">IF(W292="","",W292-G292)</f>
        <v/>
      </c>
      <c r="Y292" s="14" t="str">
        <f aca="true">IF(A292="","",IF(K292=0,IF(AND(H292&lt;&gt;"",TODAY()&gt;H292),"Vencida","Pendiente"),IF(K292&lt;J292,"Parcial","Completa")))</f>
        <v/>
      </c>
      <c r="Z292" s="16"/>
      <c r="AA292" s="13"/>
      <c r="AB292" s="14" t="str">
        <f aca="false">IF(W292="","Sin factura",IF(ABS(X292)&lt;=0.01,"OK","Revisar"))</f>
        <v>Sin factura</v>
      </c>
      <c r="AC292" s="13"/>
      <c r="AD292" s="14" t="str">
        <f aca="false">IF(A292="","",IF(L292="N","Producto no conforme",IF(M292="N","Falta registro sanitario",IF(OR(Y292="Parcial",Y292="Vencida"),IF(Z292="","Reprogramar recepción","Reprogramada "&amp;TEXT(Z292,"dd/mm")),IF(Y292="Pendiente","En espera",IF(U292="N","Completar documentos",IF(AB292="Revisar","Revisar importe facturado",IF(AC292&lt;&gt;"S","Registrar en Kontrollers","OK"))))))))</f>
        <v/>
      </c>
      <c r="AE292" s="13"/>
    </row>
    <row r="293" customFormat="false" ht="15" hidden="false" customHeight="false" outlineLevel="0" collapsed="false">
      <c r="A293" s="13"/>
      <c r="B293" s="16"/>
      <c r="C293" s="13"/>
      <c r="D293" s="13"/>
      <c r="E293" s="13"/>
      <c r="F293" s="13"/>
      <c r="G293" s="18"/>
      <c r="H293" s="16"/>
      <c r="I293" s="16"/>
      <c r="J293" s="17"/>
      <c r="K293" s="17"/>
      <c r="L293" s="13"/>
      <c r="M293" s="13"/>
      <c r="N293" s="13"/>
      <c r="O293" s="13"/>
      <c r="P293" s="13"/>
      <c r="Q293" s="14" t="str">
        <f aca="false">IF(B293="","",MONTH(B293))</f>
        <v/>
      </c>
      <c r="R293" s="20" t="str">
        <f aca="false">IF(OR(J293="",J293=0),"",MIN(1,K293/J293))</f>
        <v/>
      </c>
      <c r="S293" s="21" t="str">
        <f aca="true">IF(H293="","",IF(I293="",MAX(0,TODAY()-H293),MAX(0,I293-H293)))</f>
        <v/>
      </c>
      <c r="T293" s="14" t="str">
        <f aca="false">IF(OR(H293="",I293=""),"",IF(I293&lt;=H293,"S","N"))</f>
        <v/>
      </c>
      <c r="U293" s="14" t="str">
        <f aca="false">IF(A293="","",IF(AND(N293="S",O293="S",P293="S"),"S","N"))</f>
        <v/>
      </c>
      <c r="V293" s="13"/>
      <c r="W293" s="18"/>
      <c r="X293" s="19" t="str">
        <f aca="false">IF(W293="","",W293-G293)</f>
        <v/>
      </c>
      <c r="Y293" s="14" t="str">
        <f aca="true">IF(A293="","",IF(K293=0,IF(AND(H293&lt;&gt;"",TODAY()&gt;H293),"Vencida","Pendiente"),IF(K293&lt;J293,"Parcial","Completa")))</f>
        <v/>
      </c>
      <c r="Z293" s="16"/>
      <c r="AA293" s="13"/>
      <c r="AB293" s="14" t="str">
        <f aca="false">IF(W293="","Sin factura",IF(ABS(X293)&lt;=0.01,"OK","Revisar"))</f>
        <v>Sin factura</v>
      </c>
      <c r="AC293" s="13"/>
      <c r="AD293" s="14" t="str">
        <f aca="false">IF(A293="","",IF(L293="N","Producto no conforme",IF(M293="N","Falta registro sanitario",IF(OR(Y293="Parcial",Y293="Vencida"),IF(Z293="","Reprogramar recepción","Reprogramada "&amp;TEXT(Z293,"dd/mm")),IF(Y293="Pendiente","En espera",IF(U293="N","Completar documentos",IF(AB293="Revisar","Revisar importe facturado",IF(AC293&lt;&gt;"S","Registrar en Kontrollers","OK"))))))))</f>
        <v/>
      </c>
      <c r="AE293" s="13"/>
    </row>
    <row r="294" customFormat="false" ht="15" hidden="false" customHeight="false" outlineLevel="0" collapsed="false">
      <c r="A294" s="13"/>
      <c r="B294" s="16"/>
      <c r="C294" s="13"/>
      <c r="D294" s="13"/>
      <c r="E294" s="13"/>
      <c r="F294" s="13"/>
      <c r="G294" s="18"/>
      <c r="H294" s="16"/>
      <c r="I294" s="16"/>
      <c r="J294" s="17"/>
      <c r="K294" s="17"/>
      <c r="L294" s="13"/>
      <c r="M294" s="13"/>
      <c r="N294" s="13"/>
      <c r="O294" s="13"/>
      <c r="P294" s="13"/>
      <c r="Q294" s="14" t="str">
        <f aca="false">IF(B294="","",MONTH(B294))</f>
        <v/>
      </c>
      <c r="R294" s="20" t="str">
        <f aca="false">IF(OR(J294="",J294=0),"",MIN(1,K294/J294))</f>
        <v/>
      </c>
      <c r="S294" s="21" t="str">
        <f aca="true">IF(H294="","",IF(I294="",MAX(0,TODAY()-H294),MAX(0,I294-H294)))</f>
        <v/>
      </c>
      <c r="T294" s="14" t="str">
        <f aca="false">IF(OR(H294="",I294=""),"",IF(I294&lt;=H294,"S","N"))</f>
        <v/>
      </c>
      <c r="U294" s="14" t="str">
        <f aca="false">IF(A294="","",IF(AND(N294="S",O294="S",P294="S"),"S","N"))</f>
        <v/>
      </c>
      <c r="V294" s="13"/>
      <c r="W294" s="18"/>
      <c r="X294" s="19" t="str">
        <f aca="false">IF(W294="","",W294-G294)</f>
        <v/>
      </c>
      <c r="Y294" s="14" t="str">
        <f aca="true">IF(A294="","",IF(K294=0,IF(AND(H294&lt;&gt;"",TODAY()&gt;H294),"Vencida","Pendiente"),IF(K294&lt;J294,"Parcial","Completa")))</f>
        <v/>
      </c>
      <c r="Z294" s="16"/>
      <c r="AA294" s="13"/>
      <c r="AB294" s="14" t="str">
        <f aca="false">IF(W294="","Sin factura",IF(ABS(X294)&lt;=0.01,"OK","Revisar"))</f>
        <v>Sin factura</v>
      </c>
      <c r="AC294" s="13"/>
      <c r="AD294" s="14" t="str">
        <f aca="false">IF(A294="","",IF(L294="N","Producto no conforme",IF(M294="N","Falta registro sanitario",IF(OR(Y294="Parcial",Y294="Vencida"),IF(Z294="","Reprogramar recepción","Reprogramada "&amp;TEXT(Z294,"dd/mm")),IF(Y294="Pendiente","En espera",IF(U294="N","Completar documentos",IF(AB294="Revisar","Revisar importe facturado",IF(AC294&lt;&gt;"S","Registrar en Kontrollers","OK"))))))))</f>
        <v/>
      </c>
      <c r="AE294" s="13"/>
    </row>
    <row r="295" customFormat="false" ht="15" hidden="false" customHeight="false" outlineLevel="0" collapsed="false">
      <c r="A295" s="13"/>
      <c r="B295" s="16"/>
      <c r="C295" s="13"/>
      <c r="D295" s="13"/>
      <c r="E295" s="13"/>
      <c r="F295" s="13"/>
      <c r="G295" s="18"/>
      <c r="H295" s="16"/>
      <c r="I295" s="16"/>
      <c r="J295" s="17"/>
      <c r="K295" s="17"/>
      <c r="L295" s="13"/>
      <c r="M295" s="13"/>
      <c r="N295" s="13"/>
      <c r="O295" s="13"/>
      <c r="P295" s="13"/>
      <c r="Q295" s="14" t="str">
        <f aca="false">IF(B295="","",MONTH(B295))</f>
        <v/>
      </c>
      <c r="R295" s="20" t="str">
        <f aca="false">IF(OR(J295="",J295=0),"",MIN(1,K295/J295))</f>
        <v/>
      </c>
      <c r="S295" s="21" t="str">
        <f aca="true">IF(H295="","",IF(I295="",MAX(0,TODAY()-H295),MAX(0,I295-H295)))</f>
        <v/>
      </c>
      <c r="T295" s="14" t="str">
        <f aca="false">IF(OR(H295="",I295=""),"",IF(I295&lt;=H295,"S","N"))</f>
        <v/>
      </c>
      <c r="U295" s="14" t="str">
        <f aca="false">IF(A295="","",IF(AND(N295="S",O295="S",P295="S"),"S","N"))</f>
        <v/>
      </c>
      <c r="V295" s="13"/>
      <c r="W295" s="18"/>
      <c r="X295" s="19" t="str">
        <f aca="false">IF(W295="","",W295-G295)</f>
        <v/>
      </c>
      <c r="Y295" s="14" t="str">
        <f aca="true">IF(A295="","",IF(K295=0,IF(AND(H295&lt;&gt;"",TODAY()&gt;H295),"Vencida","Pendiente"),IF(K295&lt;J295,"Parcial","Completa")))</f>
        <v/>
      </c>
      <c r="Z295" s="16"/>
      <c r="AA295" s="13"/>
      <c r="AB295" s="14" t="str">
        <f aca="false">IF(W295="","Sin factura",IF(ABS(X295)&lt;=0.01,"OK","Revisar"))</f>
        <v>Sin factura</v>
      </c>
      <c r="AC295" s="13"/>
      <c r="AD295" s="14" t="str">
        <f aca="false">IF(A295="","",IF(L295="N","Producto no conforme",IF(M295="N","Falta registro sanitario",IF(OR(Y295="Parcial",Y295="Vencida"),IF(Z295="","Reprogramar recepción","Reprogramada "&amp;TEXT(Z295,"dd/mm")),IF(Y295="Pendiente","En espera",IF(U295="N","Completar documentos",IF(AB295="Revisar","Revisar importe facturado",IF(AC295&lt;&gt;"S","Registrar en Kontrollers","OK"))))))))</f>
        <v/>
      </c>
      <c r="AE295" s="13"/>
    </row>
    <row r="296" customFormat="false" ht="15" hidden="false" customHeight="false" outlineLevel="0" collapsed="false">
      <c r="A296" s="13"/>
      <c r="B296" s="16"/>
      <c r="C296" s="13"/>
      <c r="D296" s="13"/>
      <c r="E296" s="13"/>
      <c r="F296" s="13"/>
      <c r="G296" s="18"/>
      <c r="H296" s="16"/>
      <c r="I296" s="16"/>
      <c r="J296" s="17"/>
      <c r="K296" s="17"/>
      <c r="L296" s="13"/>
      <c r="M296" s="13"/>
      <c r="N296" s="13"/>
      <c r="O296" s="13"/>
      <c r="P296" s="13"/>
      <c r="Q296" s="14" t="str">
        <f aca="false">IF(B296="","",MONTH(B296))</f>
        <v/>
      </c>
      <c r="R296" s="20" t="str">
        <f aca="false">IF(OR(J296="",J296=0),"",MIN(1,K296/J296))</f>
        <v/>
      </c>
      <c r="S296" s="21" t="str">
        <f aca="true">IF(H296="","",IF(I296="",MAX(0,TODAY()-H296),MAX(0,I296-H296)))</f>
        <v/>
      </c>
      <c r="T296" s="14" t="str">
        <f aca="false">IF(OR(H296="",I296=""),"",IF(I296&lt;=H296,"S","N"))</f>
        <v/>
      </c>
      <c r="U296" s="14" t="str">
        <f aca="false">IF(A296="","",IF(AND(N296="S",O296="S",P296="S"),"S","N"))</f>
        <v/>
      </c>
      <c r="V296" s="13"/>
      <c r="W296" s="18"/>
      <c r="X296" s="19" t="str">
        <f aca="false">IF(W296="","",W296-G296)</f>
        <v/>
      </c>
      <c r="Y296" s="14" t="str">
        <f aca="true">IF(A296="","",IF(K296=0,IF(AND(H296&lt;&gt;"",TODAY()&gt;H296),"Vencida","Pendiente"),IF(K296&lt;J296,"Parcial","Completa")))</f>
        <v/>
      </c>
      <c r="Z296" s="16"/>
      <c r="AA296" s="13"/>
      <c r="AB296" s="14" t="str">
        <f aca="false">IF(W296="","Sin factura",IF(ABS(X296)&lt;=0.01,"OK","Revisar"))</f>
        <v>Sin factura</v>
      </c>
      <c r="AC296" s="13"/>
      <c r="AD296" s="14" t="str">
        <f aca="false">IF(A296="","",IF(L296="N","Producto no conforme",IF(M296="N","Falta registro sanitario",IF(OR(Y296="Parcial",Y296="Vencida"),IF(Z296="","Reprogramar recepción","Reprogramada "&amp;TEXT(Z296,"dd/mm")),IF(Y296="Pendiente","En espera",IF(U296="N","Completar documentos",IF(AB296="Revisar","Revisar importe facturado",IF(AC296&lt;&gt;"S","Registrar en Kontrollers","OK"))))))))</f>
        <v/>
      </c>
      <c r="AE296" s="13"/>
    </row>
    <row r="297" customFormat="false" ht="15" hidden="false" customHeight="false" outlineLevel="0" collapsed="false">
      <c r="A297" s="13"/>
      <c r="B297" s="16"/>
      <c r="C297" s="13"/>
      <c r="D297" s="13"/>
      <c r="E297" s="13"/>
      <c r="F297" s="13"/>
      <c r="G297" s="18"/>
      <c r="H297" s="16"/>
      <c r="I297" s="16"/>
      <c r="J297" s="17"/>
      <c r="K297" s="17"/>
      <c r="L297" s="13"/>
      <c r="M297" s="13"/>
      <c r="N297" s="13"/>
      <c r="O297" s="13"/>
      <c r="P297" s="13"/>
      <c r="Q297" s="14" t="str">
        <f aca="false">IF(B297="","",MONTH(B297))</f>
        <v/>
      </c>
      <c r="R297" s="20" t="str">
        <f aca="false">IF(OR(J297="",J297=0),"",MIN(1,K297/J297))</f>
        <v/>
      </c>
      <c r="S297" s="21" t="str">
        <f aca="true">IF(H297="","",IF(I297="",MAX(0,TODAY()-H297),MAX(0,I297-H297)))</f>
        <v/>
      </c>
      <c r="T297" s="14" t="str">
        <f aca="false">IF(OR(H297="",I297=""),"",IF(I297&lt;=H297,"S","N"))</f>
        <v/>
      </c>
      <c r="U297" s="14" t="str">
        <f aca="false">IF(A297="","",IF(AND(N297="S",O297="S",P297="S"),"S","N"))</f>
        <v/>
      </c>
      <c r="V297" s="13"/>
      <c r="W297" s="18"/>
      <c r="X297" s="19" t="str">
        <f aca="false">IF(W297="","",W297-G297)</f>
        <v/>
      </c>
      <c r="Y297" s="14" t="str">
        <f aca="true">IF(A297="","",IF(K297=0,IF(AND(H297&lt;&gt;"",TODAY()&gt;H297),"Vencida","Pendiente"),IF(K297&lt;J297,"Parcial","Completa")))</f>
        <v/>
      </c>
      <c r="Z297" s="16"/>
      <c r="AA297" s="13"/>
      <c r="AB297" s="14" t="str">
        <f aca="false">IF(W297="","Sin factura",IF(ABS(X297)&lt;=0.01,"OK","Revisar"))</f>
        <v>Sin factura</v>
      </c>
      <c r="AC297" s="13"/>
      <c r="AD297" s="14" t="str">
        <f aca="false">IF(A297="","",IF(L297="N","Producto no conforme",IF(M297="N","Falta registro sanitario",IF(OR(Y297="Parcial",Y297="Vencida"),IF(Z297="","Reprogramar recepción","Reprogramada "&amp;TEXT(Z297,"dd/mm")),IF(Y297="Pendiente","En espera",IF(U297="N","Completar documentos",IF(AB297="Revisar","Revisar importe facturado",IF(AC297&lt;&gt;"S","Registrar en Kontrollers","OK"))))))))</f>
        <v/>
      </c>
      <c r="AE297" s="13"/>
    </row>
    <row r="298" customFormat="false" ht="15" hidden="false" customHeight="false" outlineLevel="0" collapsed="false">
      <c r="A298" s="13"/>
      <c r="B298" s="16"/>
      <c r="C298" s="13"/>
      <c r="D298" s="13"/>
      <c r="E298" s="13"/>
      <c r="F298" s="13"/>
      <c r="G298" s="18"/>
      <c r="H298" s="16"/>
      <c r="I298" s="16"/>
      <c r="J298" s="17"/>
      <c r="K298" s="17"/>
      <c r="L298" s="13"/>
      <c r="M298" s="13"/>
      <c r="N298" s="13"/>
      <c r="O298" s="13"/>
      <c r="P298" s="13"/>
      <c r="Q298" s="14" t="str">
        <f aca="false">IF(B298="","",MONTH(B298))</f>
        <v/>
      </c>
      <c r="R298" s="20" t="str">
        <f aca="false">IF(OR(J298="",J298=0),"",MIN(1,K298/J298))</f>
        <v/>
      </c>
      <c r="S298" s="21" t="str">
        <f aca="true">IF(H298="","",IF(I298="",MAX(0,TODAY()-H298),MAX(0,I298-H298)))</f>
        <v/>
      </c>
      <c r="T298" s="14" t="str">
        <f aca="false">IF(OR(H298="",I298=""),"",IF(I298&lt;=H298,"S","N"))</f>
        <v/>
      </c>
      <c r="U298" s="14" t="str">
        <f aca="false">IF(A298="","",IF(AND(N298="S",O298="S",P298="S"),"S","N"))</f>
        <v/>
      </c>
      <c r="V298" s="13"/>
      <c r="W298" s="18"/>
      <c r="X298" s="19" t="str">
        <f aca="false">IF(W298="","",W298-G298)</f>
        <v/>
      </c>
      <c r="Y298" s="14" t="str">
        <f aca="true">IF(A298="","",IF(K298=0,IF(AND(H298&lt;&gt;"",TODAY()&gt;H298),"Vencida","Pendiente"),IF(K298&lt;J298,"Parcial","Completa")))</f>
        <v/>
      </c>
      <c r="Z298" s="16"/>
      <c r="AA298" s="13"/>
      <c r="AB298" s="14" t="str">
        <f aca="false">IF(W298="","Sin factura",IF(ABS(X298)&lt;=0.01,"OK","Revisar"))</f>
        <v>Sin factura</v>
      </c>
      <c r="AC298" s="13"/>
      <c r="AD298" s="14" t="str">
        <f aca="false">IF(A298="","",IF(L298="N","Producto no conforme",IF(M298="N","Falta registro sanitario",IF(OR(Y298="Parcial",Y298="Vencida"),IF(Z298="","Reprogramar recepción","Reprogramada "&amp;TEXT(Z298,"dd/mm")),IF(Y298="Pendiente","En espera",IF(U298="N","Completar documentos",IF(AB298="Revisar","Revisar importe facturado",IF(AC298&lt;&gt;"S","Registrar en Kontrollers","OK"))))))))</f>
        <v/>
      </c>
      <c r="AE298" s="13"/>
    </row>
    <row r="299" customFormat="false" ht="15" hidden="false" customHeight="false" outlineLevel="0" collapsed="false">
      <c r="A299" s="13"/>
      <c r="B299" s="16"/>
      <c r="C299" s="13"/>
      <c r="D299" s="13"/>
      <c r="E299" s="13"/>
      <c r="F299" s="13"/>
      <c r="G299" s="18"/>
      <c r="H299" s="16"/>
      <c r="I299" s="16"/>
      <c r="J299" s="17"/>
      <c r="K299" s="17"/>
      <c r="L299" s="13"/>
      <c r="M299" s="13"/>
      <c r="N299" s="13"/>
      <c r="O299" s="13"/>
      <c r="P299" s="13"/>
      <c r="Q299" s="14" t="str">
        <f aca="false">IF(B299="","",MONTH(B299))</f>
        <v/>
      </c>
      <c r="R299" s="20" t="str">
        <f aca="false">IF(OR(J299="",J299=0),"",MIN(1,K299/J299))</f>
        <v/>
      </c>
      <c r="S299" s="21" t="str">
        <f aca="true">IF(H299="","",IF(I299="",MAX(0,TODAY()-H299),MAX(0,I299-H299)))</f>
        <v/>
      </c>
      <c r="T299" s="14" t="str">
        <f aca="false">IF(OR(H299="",I299=""),"",IF(I299&lt;=H299,"S","N"))</f>
        <v/>
      </c>
      <c r="U299" s="14" t="str">
        <f aca="false">IF(A299="","",IF(AND(N299="S",O299="S",P299="S"),"S","N"))</f>
        <v/>
      </c>
      <c r="V299" s="13"/>
      <c r="W299" s="18"/>
      <c r="X299" s="19" t="str">
        <f aca="false">IF(W299="","",W299-G299)</f>
        <v/>
      </c>
      <c r="Y299" s="14" t="str">
        <f aca="true">IF(A299="","",IF(K299=0,IF(AND(H299&lt;&gt;"",TODAY()&gt;H299),"Vencida","Pendiente"),IF(K299&lt;J299,"Parcial","Completa")))</f>
        <v/>
      </c>
      <c r="Z299" s="16"/>
      <c r="AA299" s="13"/>
      <c r="AB299" s="14" t="str">
        <f aca="false">IF(W299="","Sin factura",IF(ABS(X299)&lt;=0.01,"OK","Revisar"))</f>
        <v>Sin factura</v>
      </c>
      <c r="AC299" s="13"/>
      <c r="AD299" s="14" t="str">
        <f aca="false">IF(A299="","",IF(L299="N","Producto no conforme",IF(M299="N","Falta registro sanitario",IF(OR(Y299="Parcial",Y299="Vencida"),IF(Z299="","Reprogramar recepción","Reprogramada "&amp;TEXT(Z299,"dd/mm")),IF(Y299="Pendiente","En espera",IF(U299="N","Completar documentos",IF(AB299="Revisar","Revisar importe facturado",IF(AC299&lt;&gt;"S","Registrar en Kontrollers","OK"))))))))</f>
        <v/>
      </c>
      <c r="AE299" s="13"/>
    </row>
    <row r="300" customFormat="false" ht="15" hidden="false" customHeight="false" outlineLevel="0" collapsed="false">
      <c r="A300" s="13"/>
      <c r="B300" s="16"/>
      <c r="C300" s="13"/>
      <c r="D300" s="13"/>
      <c r="E300" s="13"/>
      <c r="F300" s="13"/>
      <c r="G300" s="18"/>
      <c r="H300" s="16"/>
      <c r="I300" s="16"/>
      <c r="J300" s="17"/>
      <c r="K300" s="17"/>
      <c r="L300" s="13"/>
      <c r="M300" s="13"/>
      <c r="N300" s="13"/>
      <c r="O300" s="13"/>
      <c r="P300" s="13"/>
      <c r="Q300" s="14" t="str">
        <f aca="false">IF(B300="","",MONTH(B300))</f>
        <v/>
      </c>
      <c r="R300" s="20" t="str">
        <f aca="false">IF(OR(J300="",J300=0),"",MIN(1,K300/J300))</f>
        <v/>
      </c>
      <c r="S300" s="21" t="str">
        <f aca="true">IF(H300="","",IF(I300="",MAX(0,TODAY()-H300),MAX(0,I300-H300)))</f>
        <v/>
      </c>
      <c r="T300" s="14" t="str">
        <f aca="false">IF(OR(H300="",I300=""),"",IF(I300&lt;=H300,"S","N"))</f>
        <v/>
      </c>
      <c r="U300" s="14" t="str">
        <f aca="false">IF(A300="","",IF(AND(N300="S",O300="S",P300="S"),"S","N"))</f>
        <v/>
      </c>
      <c r="V300" s="13"/>
      <c r="W300" s="18"/>
      <c r="X300" s="19" t="str">
        <f aca="false">IF(W300="","",W300-G300)</f>
        <v/>
      </c>
      <c r="Y300" s="14" t="str">
        <f aca="true">IF(A300="","",IF(K300=0,IF(AND(H300&lt;&gt;"",TODAY()&gt;H300),"Vencida","Pendiente"),IF(K300&lt;J300,"Parcial","Completa")))</f>
        <v/>
      </c>
      <c r="Z300" s="16"/>
      <c r="AA300" s="13"/>
      <c r="AB300" s="14" t="str">
        <f aca="false">IF(W300="","Sin factura",IF(ABS(X300)&lt;=0.01,"OK","Revisar"))</f>
        <v>Sin factura</v>
      </c>
      <c r="AC300" s="13"/>
      <c r="AD300" s="14" t="str">
        <f aca="false">IF(A300="","",IF(L300="N","Producto no conforme",IF(M300="N","Falta registro sanitario",IF(OR(Y300="Parcial",Y300="Vencida"),IF(Z300="","Reprogramar recepción","Reprogramada "&amp;TEXT(Z300,"dd/mm")),IF(Y300="Pendiente","En espera",IF(U300="N","Completar documentos",IF(AB300="Revisar","Revisar importe facturado",IF(AC300&lt;&gt;"S","Registrar en Kontrollers","OK"))))))))</f>
        <v/>
      </c>
      <c r="AE300" s="13"/>
    </row>
    <row r="301" customFormat="false" ht="15" hidden="false" customHeight="false" outlineLevel="0" collapsed="false">
      <c r="A301" s="13"/>
      <c r="B301" s="16"/>
      <c r="C301" s="13"/>
      <c r="D301" s="13"/>
      <c r="E301" s="13"/>
      <c r="F301" s="13"/>
      <c r="G301" s="18"/>
      <c r="H301" s="16"/>
      <c r="I301" s="16"/>
      <c r="J301" s="17"/>
      <c r="K301" s="17"/>
      <c r="L301" s="13"/>
      <c r="M301" s="13"/>
      <c r="N301" s="13"/>
      <c r="O301" s="13"/>
      <c r="P301" s="13"/>
      <c r="Q301" s="14" t="str">
        <f aca="false">IF(B301="","",MONTH(B301))</f>
        <v/>
      </c>
      <c r="R301" s="20" t="str">
        <f aca="false">IF(OR(J301="",J301=0),"",MIN(1,K301/J301))</f>
        <v/>
      </c>
      <c r="S301" s="21" t="str">
        <f aca="true">IF(H301="","",IF(I301="",MAX(0,TODAY()-H301),MAX(0,I301-H301)))</f>
        <v/>
      </c>
      <c r="T301" s="14" t="str">
        <f aca="false">IF(OR(H301="",I301=""),"",IF(I301&lt;=H301,"S","N"))</f>
        <v/>
      </c>
      <c r="U301" s="14" t="str">
        <f aca="false">IF(A301="","",IF(AND(N301="S",O301="S",P301="S"),"S","N"))</f>
        <v/>
      </c>
      <c r="V301" s="13"/>
      <c r="W301" s="18"/>
      <c r="X301" s="19" t="str">
        <f aca="false">IF(W301="","",W301-G301)</f>
        <v/>
      </c>
      <c r="Y301" s="14" t="str">
        <f aca="true">IF(A301="","",IF(K301=0,IF(AND(H301&lt;&gt;"",TODAY()&gt;H301),"Vencida","Pendiente"),IF(K301&lt;J301,"Parcial","Completa")))</f>
        <v/>
      </c>
      <c r="Z301" s="16"/>
      <c r="AA301" s="13"/>
      <c r="AB301" s="14" t="str">
        <f aca="false">IF(W301="","Sin factura",IF(ABS(X301)&lt;=0.01,"OK","Revisar"))</f>
        <v>Sin factura</v>
      </c>
      <c r="AC301" s="13"/>
      <c r="AD301" s="14" t="str">
        <f aca="false">IF(A301="","",IF(L301="N","Producto no conforme",IF(M301="N","Falta registro sanitario",IF(OR(Y301="Parcial",Y301="Vencida"),IF(Z301="","Reprogramar recepción","Reprogramada "&amp;TEXT(Z301,"dd/mm")),IF(Y301="Pendiente","En espera",IF(U301="N","Completar documentos",IF(AB301="Revisar","Revisar importe facturado",IF(AC301&lt;&gt;"S","Registrar en Kontrollers","OK"))))))))</f>
        <v/>
      </c>
      <c r="AE301" s="13"/>
    </row>
    <row r="302" customFormat="false" ht="15" hidden="false" customHeight="false" outlineLevel="0" collapsed="false">
      <c r="A302" s="13"/>
      <c r="B302" s="16"/>
      <c r="C302" s="13"/>
      <c r="D302" s="13"/>
      <c r="E302" s="13"/>
      <c r="F302" s="13"/>
      <c r="G302" s="18"/>
      <c r="H302" s="16"/>
      <c r="I302" s="16"/>
      <c r="J302" s="17"/>
      <c r="K302" s="17"/>
      <c r="L302" s="13"/>
      <c r="M302" s="13"/>
      <c r="N302" s="13"/>
      <c r="O302" s="13"/>
      <c r="P302" s="13"/>
      <c r="Q302" s="14" t="str">
        <f aca="false">IF(B302="","",MONTH(B302))</f>
        <v/>
      </c>
      <c r="R302" s="20" t="str">
        <f aca="false">IF(OR(J302="",J302=0),"",MIN(1,K302/J302))</f>
        <v/>
      </c>
      <c r="S302" s="21" t="str">
        <f aca="true">IF(H302="","",IF(I302="",MAX(0,TODAY()-H302),MAX(0,I302-H302)))</f>
        <v/>
      </c>
      <c r="T302" s="14" t="str">
        <f aca="false">IF(OR(H302="",I302=""),"",IF(I302&lt;=H302,"S","N"))</f>
        <v/>
      </c>
      <c r="U302" s="14" t="str">
        <f aca="false">IF(A302="","",IF(AND(N302="S",O302="S",P302="S"),"S","N"))</f>
        <v/>
      </c>
      <c r="V302" s="13"/>
      <c r="W302" s="18"/>
      <c r="X302" s="19" t="str">
        <f aca="false">IF(W302="","",W302-G302)</f>
        <v/>
      </c>
      <c r="Y302" s="14" t="str">
        <f aca="true">IF(A302="","",IF(K302=0,IF(AND(H302&lt;&gt;"",TODAY()&gt;H302),"Vencida","Pendiente"),IF(K302&lt;J302,"Parcial","Completa")))</f>
        <v/>
      </c>
      <c r="Z302" s="16"/>
      <c r="AA302" s="13"/>
      <c r="AB302" s="14" t="str">
        <f aca="false">IF(W302="","Sin factura",IF(ABS(X302)&lt;=0.01,"OK","Revisar"))</f>
        <v>Sin factura</v>
      </c>
      <c r="AC302" s="13"/>
      <c r="AD302" s="14" t="str">
        <f aca="false">IF(A302="","",IF(L302="N","Producto no conforme",IF(M302="N","Falta registro sanitario",IF(OR(Y302="Parcial",Y302="Vencida"),IF(Z302="","Reprogramar recepción","Reprogramada "&amp;TEXT(Z302,"dd/mm")),IF(Y302="Pendiente","En espera",IF(U302="N","Completar documentos",IF(AB302="Revisar","Revisar importe facturado",IF(AC302&lt;&gt;"S","Registrar en Kontrollers","OK"))))))))</f>
        <v/>
      </c>
      <c r="AE302" s="13"/>
    </row>
    <row r="303" customFormat="false" ht="15" hidden="false" customHeight="false" outlineLevel="0" collapsed="false">
      <c r="A303" s="13"/>
      <c r="B303" s="16"/>
      <c r="C303" s="13"/>
      <c r="D303" s="13"/>
      <c r="E303" s="13"/>
      <c r="F303" s="13"/>
      <c r="G303" s="18"/>
      <c r="H303" s="16"/>
      <c r="I303" s="16"/>
      <c r="J303" s="17"/>
      <c r="K303" s="17"/>
      <c r="L303" s="13"/>
      <c r="M303" s="13"/>
      <c r="N303" s="13"/>
      <c r="O303" s="13"/>
      <c r="P303" s="13"/>
      <c r="Q303" s="14" t="str">
        <f aca="false">IF(B303="","",MONTH(B303))</f>
        <v/>
      </c>
      <c r="R303" s="20" t="str">
        <f aca="false">IF(OR(J303="",J303=0),"",MIN(1,K303/J303))</f>
        <v/>
      </c>
      <c r="S303" s="21" t="str">
        <f aca="true">IF(H303="","",IF(I303="",MAX(0,TODAY()-H303),MAX(0,I303-H303)))</f>
        <v/>
      </c>
      <c r="T303" s="14" t="str">
        <f aca="false">IF(OR(H303="",I303=""),"",IF(I303&lt;=H303,"S","N"))</f>
        <v/>
      </c>
      <c r="U303" s="14" t="str">
        <f aca="false">IF(A303="","",IF(AND(N303="S",O303="S",P303="S"),"S","N"))</f>
        <v/>
      </c>
      <c r="V303" s="13"/>
      <c r="W303" s="18"/>
      <c r="X303" s="19" t="str">
        <f aca="false">IF(W303="","",W303-G303)</f>
        <v/>
      </c>
      <c r="Y303" s="14" t="str">
        <f aca="true">IF(A303="","",IF(K303=0,IF(AND(H303&lt;&gt;"",TODAY()&gt;H303),"Vencida","Pendiente"),IF(K303&lt;J303,"Parcial","Completa")))</f>
        <v/>
      </c>
      <c r="Z303" s="16"/>
      <c r="AA303" s="13"/>
      <c r="AB303" s="14" t="str">
        <f aca="false">IF(W303="","Sin factura",IF(ABS(X303)&lt;=0.01,"OK","Revisar"))</f>
        <v>Sin factura</v>
      </c>
      <c r="AC303" s="13"/>
      <c r="AD303" s="14" t="str">
        <f aca="false">IF(A303="","",IF(L303="N","Producto no conforme",IF(M303="N","Falta registro sanitario",IF(OR(Y303="Parcial",Y303="Vencida"),IF(Z303="","Reprogramar recepción","Reprogramada "&amp;TEXT(Z303,"dd/mm")),IF(Y303="Pendiente","En espera",IF(U303="N","Completar documentos",IF(AB303="Revisar","Revisar importe facturado",IF(AC303&lt;&gt;"S","Registrar en Kontrollers","OK"))))))))</f>
        <v/>
      </c>
      <c r="AE303" s="13"/>
    </row>
    <row r="304" customFormat="false" ht="15" hidden="false" customHeight="false" outlineLevel="0" collapsed="false">
      <c r="A304" s="13"/>
      <c r="B304" s="16"/>
      <c r="C304" s="13"/>
      <c r="D304" s="13"/>
      <c r="E304" s="13"/>
      <c r="F304" s="13"/>
      <c r="G304" s="18"/>
      <c r="H304" s="16"/>
      <c r="I304" s="16"/>
      <c r="J304" s="17"/>
      <c r="K304" s="17"/>
      <c r="L304" s="13"/>
      <c r="M304" s="13"/>
      <c r="N304" s="13"/>
      <c r="O304" s="13"/>
      <c r="P304" s="13"/>
      <c r="Q304" s="14" t="str">
        <f aca="false">IF(B304="","",MONTH(B304))</f>
        <v/>
      </c>
      <c r="R304" s="20" t="str">
        <f aca="false">IF(OR(J304="",J304=0),"",MIN(1,K304/J304))</f>
        <v/>
      </c>
      <c r="S304" s="21" t="str">
        <f aca="true">IF(H304="","",IF(I304="",MAX(0,TODAY()-H304),MAX(0,I304-H304)))</f>
        <v/>
      </c>
      <c r="T304" s="14" t="str">
        <f aca="false">IF(OR(H304="",I304=""),"",IF(I304&lt;=H304,"S","N"))</f>
        <v/>
      </c>
      <c r="U304" s="14" t="str">
        <f aca="false">IF(A304="","",IF(AND(N304="S",O304="S",P304="S"),"S","N"))</f>
        <v/>
      </c>
      <c r="V304" s="13"/>
      <c r="W304" s="18"/>
      <c r="X304" s="19" t="str">
        <f aca="false">IF(W304="","",W304-G304)</f>
        <v/>
      </c>
      <c r="Y304" s="14" t="str">
        <f aca="true">IF(A304="","",IF(K304=0,IF(AND(H304&lt;&gt;"",TODAY()&gt;H304),"Vencida","Pendiente"),IF(K304&lt;J304,"Parcial","Completa")))</f>
        <v/>
      </c>
      <c r="Z304" s="16"/>
      <c r="AA304" s="13"/>
      <c r="AB304" s="14" t="str">
        <f aca="false">IF(W304="","Sin factura",IF(ABS(X304)&lt;=0.01,"OK","Revisar"))</f>
        <v>Sin factura</v>
      </c>
      <c r="AC304" s="13"/>
      <c r="AD304" s="14" t="str">
        <f aca="false">IF(A304="","",IF(L304="N","Producto no conforme",IF(M304="N","Falta registro sanitario",IF(OR(Y304="Parcial",Y304="Vencida"),IF(Z304="","Reprogramar recepción","Reprogramada "&amp;TEXT(Z304,"dd/mm")),IF(Y304="Pendiente","En espera",IF(U304="N","Completar documentos",IF(AB304="Revisar","Revisar importe facturado",IF(AC304&lt;&gt;"S","Registrar en Kontrollers","OK"))))))))</f>
        <v/>
      </c>
      <c r="AE304" s="13"/>
    </row>
  </sheetData>
  <autoFilter ref="A4:AE304"/>
  <conditionalFormatting sqref="Y5:Y304">
    <cfRule type="cellIs" priority="2" operator="equal" aboveAverage="0" equalAverage="0" bottom="0" percent="0" rank="0" text="" dxfId="7">
      <formula>"Vencida"</formula>
    </cfRule>
    <cfRule type="cellIs" priority="3" operator="equal" aboveAverage="0" equalAverage="0" bottom="0" percent="0" rank="0" text="" dxfId="8">
      <formula>"Parcial"</formula>
    </cfRule>
    <cfRule type="cellIs" priority="4" operator="equal" aboveAverage="0" equalAverage="0" bottom="0" percent="0" rank="0" text="" dxfId="9">
      <formula>"Completa"</formula>
    </cfRule>
  </conditionalFormatting>
  <conditionalFormatting sqref="AD5:AD304">
    <cfRule type="cellIs" priority="5" operator="equal" aboveAverage="0" equalAverage="0" bottom="0" percent="0" rank="0" text="" dxfId="9">
      <formula>"OK"</formula>
    </cfRule>
    <cfRule type="cellIs" priority="6" operator="notEqual" aboveAverage="0" equalAverage="0" bottom="0" percent="0" rank="0" text="" dxfId="8">
      <formula>"OK"</formula>
    </cfRule>
  </conditionalFormatting>
  <dataValidations count="11">
    <dataValidation allowBlank="true" errorStyle="stop" operator="between" showDropDown="false" showErrorMessage="false" showInputMessage="false" sqref="L5:L304" type="list">
      <formula1>Parametros!$F$7:$F$9</formula1>
      <formula2>0</formula2>
    </dataValidation>
    <dataValidation allowBlank="true" errorStyle="stop" operator="between" showDropDown="false" showErrorMessage="false" showInputMessage="false" sqref="M5:M304" type="list">
      <formula1>Parametros!$F$7:$F$9</formula1>
      <formula2>0</formula2>
    </dataValidation>
    <dataValidation allowBlank="true" errorStyle="stop" operator="between" showDropDown="false" showErrorMessage="false" showInputMessage="false" sqref="N5:N304" type="list">
      <formula1>Parametros!$F$7:$F$9</formula1>
      <formula2>0</formula2>
    </dataValidation>
    <dataValidation allowBlank="true" errorStyle="stop" operator="between" showDropDown="false" showErrorMessage="false" showInputMessage="false" sqref="O5:O304" type="list">
      <formula1>Parametros!$F$7:$F$9</formula1>
      <formula2>0</formula2>
    </dataValidation>
    <dataValidation allowBlank="true" errorStyle="stop" operator="between" showDropDown="false" showErrorMessage="false" showInputMessage="false" sqref="P5:P304" type="list">
      <formula1>Parametros!$F$7:$F$9</formula1>
      <formula2>0</formula2>
    </dataValidation>
    <dataValidation allowBlank="true" errorStyle="stop" operator="between" showDropDown="false" showErrorMessage="false" showInputMessage="false" sqref="V5:V304" type="list">
      <formula1>Parametros!$F$7:$F$9</formula1>
      <formula2>0</formula2>
    </dataValidation>
    <dataValidation allowBlank="true" errorStyle="stop" operator="between" showDropDown="false" showErrorMessage="false" showInputMessage="false" sqref="AC5:AC304" type="list">
      <formula1>Parametros!$F$7:$F$9</formula1>
      <formula2>0</formula2>
    </dataValidation>
    <dataValidation allowBlank="true" errorStyle="stop" operator="between" showDropDown="false" showErrorMessage="false" showInputMessage="false" sqref="C5:C304" type="list">
      <formula1>Parametros!$C$7:$C$36</formula1>
      <formula2>0</formula2>
    </dataValidation>
    <dataValidation allowBlank="true" errorStyle="stop" operator="between" showDropDown="false" showErrorMessage="false" showInputMessage="false" sqref="D5:D304" type="list">
      <formula1>Parametros!$B$7:$B$36</formula1>
      <formula2>0</formula2>
    </dataValidation>
    <dataValidation allowBlank="true" errorStyle="stop" operator="between" showDropDown="false" showErrorMessage="false" showInputMessage="false" sqref="E5:E304" type="list">
      <formula1>Parametros!$A$7:$A$36</formula1>
      <formula2>0</formula2>
    </dataValidation>
    <dataValidation allowBlank="true" errorStyle="stop" operator="between" showDropDown="false" showErrorMessage="false" showInputMessage="false" sqref="F5:F304" type="list">
      <formula1>Parametros!$E$7:$E$8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11"/>
    <col collapsed="false" customWidth="true" hidden="false" outlineLevel="0" max="7" min="6" style="0" width="15"/>
  </cols>
  <sheetData>
    <row r="1" customFormat="false" ht="17.35" hidden="false" customHeight="false" outlineLevel="0" collapsed="false">
      <c r="A1" s="1" t="s">
        <v>155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156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42" hidden="false" customHeight="true" outlineLevel="0" collapsed="false">
      <c r="A4" s="15" t="s">
        <v>157</v>
      </c>
      <c r="B4" s="15" t="s">
        <v>158</v>
      </c>
      <c r="C4" s="15" t="s">
        <v>159</v>
      </c>
      <c r="D4" s="15" t="s">
        <v>160</v>
      </c>
      <c r="E4" s="15" t="s">
        <v>161</v>
      </c>
      <c r="F4" s="15" t="s">
        <v>162</v>
      </c>
      <c r="G4" s="15" t="s">
        <v>163</v>
      </c>
    </row>
    <row r="5" customFormat="false" ht="15" hidden="false" customHeight="false" outlineLevel="0" collapsed="false">
      <c r="A5" s="13" t="n">
        <v>2026</v>
      </c>
      <c r="B5" s="13" t="n">
        <v>9</v>
      </c>
      <c r="C5" s="13" t="s">
        <v>45</v>
      </c>
      <c r="D5" s="13" t="s">
        <v>41</v>
      </c>
      <c r="E5" s="17" t="n">
        <v>1450</v>
      </c>
      <c r="F5" s="18" t="n">
        <v>98600</v>
      </c>
      <c r="G5" s="19" t="n">
        <f aca="false">IF(OR(E5="",E5=0),"",F5/E5)</f>
        <v>68</v>
      </c>
    </row>
    <row r="6" customFormat="false" ht="15" hidden="false" customHeight="false" outlineLevel="0" collapsed="false">
      <c r="A6" s="13" t="n">
        <v>2026</v>
      </c>
      <c r="B6" s="13" t="n">
        <v>9</v>
      </c>
      <c r="C6" s="13" t="s">
        <v>52</v>
      </c>
      <c r="D6" s="13" t="s">
        <v>41</v>
      </c>
      <c r="E6" s="17" t="n">
        <v>1210</v>
      </c>
      <c r="F6" s="18" t="n">
        <v>84700</v>
      </c>
      <c r="G6" s="19" t="n">
        <f aca="false">IF(OR(E6="",E6=0),"",F6/E6)</f>
        <v>70</v>
      </c>
    </row>
    <row r="7" customFormat="false" ht="15" hidden="false" customHeight="false" outlineLevel="0" collapsed="false">
      <c r="A7" s="13" t="n">
        <v>2026</v>
      </c>
      <c r="B7" s="13" t="n">
        <v>10</v>
      </c>
      <c r="C7" s="13" t="s">
        <v>45</v>
      </c>
      <c r="D7" s="13" t="s">
        <v>41</v>
      </c>
      <c r="E7" s="17" t="n">
        <v>1500</v>
      </c>
      <c r="F7" s="18" t="n">
        <v>100500</v>
      </c>
      <c r="G7" s="19" t="n">
        <f aca="false">IF(OR(E7="",E7=0),"",F7/E7)</f>
        <v>67</v>
      </c>
    </row>
    <row r="8" customFormat="false" ht="15" hidden="false" customHeight="false" outlineLevel="0" collapsed="false">
      <c r="A8" s="13"/>
      <c r="B8" s="13"/>
      <c r="C8" s="13"/>
      <c r="D8" s="13"/>
      <c r="E8" s="17"/>
      <c r="F8" s="18"/>
      <c r="G8" s="19" t="str">
        <f aca="false">IF(OR(E8="",E8=0),"",F8/E8)</f>
        <v/>
      </c>
    </row>
    <row r="9" customFormat="false" ht="15" hidden="false" customHeight="false" outlineLevel="0" collapsed="false">
      <c r="A9" s="13"/>
      <c r="B9" s="13"/>
      <c r="C9" s="13"/>
      <c r="D9" s="13"/>
      <c r="E9" s="17"/>
      <c r="F9" s="18"/>
      <c r="G9" s="19" t="str">
        <f aca="false">IF(OR(E9="",E9=0),"",F9/E9)</f>
        <v/>
      </c>
    </row>
    <row r="10" customFormat="false" ht="15" hidden="false" customHeight="false" outlineLevel="0" collapsed="false">
      <c r="A10" s="13"/>
      <c r="B10" s="13"/>
      <c r="C10" s="13"/>
      <c r="D10" s="13"/>
      <c r="E10" s="17"/>
      <c r="F10" s="18"/>
      <c r="G10" s="19" t="str">
        <f aca="false">IF(OR(E10="",E10=0),"",F10/E10)</f>
        <v/>
      </c>
    </row>
    <row r="11" customFormat="false" ht="15" hidden="false" customHeight="false" outlineLevel="0" collapsed="false">
      <c r="A11" s="13"/>
      <c r="B11" s="13"/>
      <c r="C11" s="13"/>
      <c r="D11" s="13"/>
      <c r="E11" s="17"/>
      <c r="F11" s="18"/>
      <c r="G11" s="19" t="str">
        <f aca="false">IF(OR(E11="",E11=0),"",F11/E11)</f>
        <v/>
      </c>
    </row>
    <row r="12" customFormat="false" ht="15" hidden="false" customHeight="false" outlineLevel="0" collapsed="false">
      <c r="A12" s="13"/>
      <c r="B12" s="13"/>
      <c r="C12" s="13"/>
      <c r="D12" s="13"/>
      <c r="E12" s="17"/>
      <c r="F12" s="18"/>
      <c r="G12" s="19" t="str">
        <f aca="false">IF(OR(E12="",E12=0),"",F12/E12)</f>
        <v/>
      </c>
    </row>
    <row r="13" customFormat="false" ht="15" hidden="false" customHeight="false" outlineLevel="0" collapsed="false">
      <c r="A13" s="13"/>
      <c r="B13" s="13"/>
      <c r="C13" s="13"/>
      <c r="D13" s="13"/>
      <c r="E13" s="17"/>
      <c r="F13" s="18"/>
      <c r="G13" s="19" t="str">
        <f aca="false">IF(OR(E13="",E13=0),"",F13/E13)</f>
        <v/>
      </c>
    </row>
    <row r="14" customFormat="false" ht="15" hidden="false" customHeight="false" outlineLevel="0" collapsed="false">
      <c r="A14" s="13"/>
      <c r="B14" s="13"/>
      <c r="C14" s="13"/>
      <c r="D14" s="13"/>
      <c r="E14" s="17"/>
      <c r="F14" s="18"/>
      <c r="G14" s="19" t="str">
        <f aca="false">IF(OR(E14="",E14=0),"",F14/E14)</f>
        <v/>
      </c>
    </row>
    <row r="15" customFormat="false" ht="15" hidden="false" customHeight="false" outlineLevel="0" collapsed="false">
      <c r="A15" s="13"/>
      <c r="B15" s="13"/>
      <c r="C15" s="13"/>
      <c r="D15" s="13"/>
      <c r="E15" s="17"/>
      <c r="F15" s="18"/>
      <c r="G15" s="19" t="str">
        <f aca="false">IF(OR(E15="",E15=0),"",F15/E15)</f>
        <v/>
      </c>
    </row>
    <row r="16" customFormat="false" ht="15" hidden="false" customHeight="false" outlineLevel="0" collapsed="false">
      <c r="A16" s="13"/>
      <c r="B16" s="13"/>
      <c r="C16" s="13"/>
      <c r="D16" s="13"/>
      <c r="E16" s="17"/>
      <c r="F16" s="18"/>
      <c r="G16" s="19" t="str">
        <f aca="false">IF(OR(E16="",E16=0),"",F16/E16)</f>
        <v/>
      </c>
    </row>
    <row r="17" customFormat="false" ht="15" hidden="false" customHeight="false" outlineLevel="0" collapsed="false">
      <c r="A17" s="13"/>
      <c r="B17" s="13"/>
      <c r="C17" s="13"/>
      <c r="D17" s="13"/>
      <c r="E17" s="17"/>
      <c r="F17" s="18"/>
      <c r="G17" s="19" t="str">
        <f aca="false">IF(OR(E17="",E17=0),"",F17/E17)</f>
        <v/>
      </c>
    </row>
    <row r="18" customFormat="false" ht="15" hidden="false" customHeight="false" outlineLevel="0" collapsed="false">
      <c r="A18" s="13"/>
      <c r="B18" s="13"/>
      <c r="C18" s="13"/>
      <c r="D18" s="13"/>
      <c r="E18" s="17"/>
      <c r="F18" s="18"/>
      <c r="G18" s="19" t="str">
        <f aca="false">IF(OR(E18="",E18=0),"",F18/E18)</f>
        <v/>
      </c>
    </row>
    <row r="19" customFormat="false" ht="15" hidden="false" customHeight="false" outlineLevel="0" collapsed="false">
      <c r="A19" s="13"/>
      <c r="B19" s="13"/>
      <c r="C19" s="13"/>
      <c r="D19" s="13"/>
      <c r="E19" s="17"/>
      <c r="F19" s="18"/>
      <c r="G19" s="19" t="str">
        <f aca="false">IF(OR(E19="",E19=0),"",F19/E19)</f>
        <v/>
      </c>
    </row>
    <row r="20" customFormat="false" ht="15" hidden="false" customHeight="false" outlineLevel="0" collapsed="false">
      <c r="A20" s="13"/>
      <c r="B20" s="13"/>
      <c r="C20" s="13"/>
      <c r="D20" s="13"/>
      <c r="E20" s="17"/>
      <c r="F20" s="18"/>
      <c r="G20" s="19" t="str">
        <f aca="false">IF(OR(E20="",E20=0),"",F20/E20)</f>
        <v/>
      </c>
    </row>
    <row r="21" customFormat="false" ht="15" hidden="false" customHeight="false" outlineLevel="0" collapsed="false">
      <c r="A21" s="13"/>
      <c r="B21" s="13"/>
      <c r="C21" s="13"/>
      <c r="D21" s="13"/>
      <c r="E21" s="17"/>
      <c r="F21" s="18"/>
      <c r="G21" s="19" t="str">
        <f aca="false">IF(OR(E21="",E21=0),"",F21/E21)</f>
        <v/>
      </c>
    </row>
    <row r="22" customFormat="false" ht="15" hidden="false" customHeight="false" outlineLevel="0" collapsed="false">
      <c r="A22" s="13"/>
      <c r="B22" s="13"/>
      <c r="C22" s="13"/>
      <c r="D22" s="13"/>
      <c r="E22" s="17"/>
      <c r="F22" s="18"/>
      <c r="G22" s="19" t="str">
        <f aca="false">IF(OR(E22="",E22=0),"",F22/E22)</f>
        <v/>
      </c>
    </row>
    <row r="23" customFormat="false" ht="15" hidden="false" customHeight="false" outlineLevel="0" collapsed="false">
      <c r="A23" s="13"/>
      <c r="B23" s="13"/>
      <c r="C23" s="13"/>
      <c r="D23" s="13"/>
      <c r="E23" s="17"/>
      <c r="F23" s="18"/>
      <c r="G23" s="19" t="str">
        <f aca="false">IF(OR(E23="",E23=0),"",F23/E23)</f>
        <v/>
      </c>
    </row>
    <row r="24" customFormat="false" ht="15" hidden="false" customHeight="false" outlineLevel="0" collapsed="false">
      <c r="A24" s="13"/>
      <c r="B24" s="13"/>
      <c r="C24" s="13"/>
      <c r="D24" s="13"/>
      <c r="E24" s="17"/>
      <c r="F24" s="18"/>
      <c r="G24" s="19" t="str">
        <f aca="false">IF(OR(E24="",E24=0),"",F24/E24)</f>
        <v/>
      </c>
    </row>
    <row r="25" customFormat="false" ht="15" hidden="false" customHeight="false" outlineLevel="0" collapsed="false">
      <c r="A25" s="13"/>
      <c r="B25" s="13"/>
      <c r="C25" s="13"/>
      <c r="D25" s="13"/>
      <c r="E25" s="17"/>
      <c r="F25" s="18"/>
      <c r="G25" s="19" t="str">
        <f aca="false">IF(OR(E25="",E25=0),"",F25/E25)</f>
        <v/>
      </c>
    </row>
    <row r="26" customFormat="false" ht="15" hidden="false" customHeight="false" outlineLevel="0" collapsed="false">
      <c r="A26" s="13"/>
      <c r="B26" s="13"/>
      <c r="C26" s="13"/>
      <c r="D26" s="13"/>
      <c r="E26" s="17"/>
      <c r="F26" s="18"/>
      <c r="G26" s="19" t="str">
        <f aca="false">IF(OR(E26="",E26=0),"",F26/E26)</f>
        <v/>
      </c>
    </row>
    <row r="27" customFormat="false" ht="15" hidden="false" customHeight="false" outlineLevel="0" collapsed="false">
      <c r="A27" s="13"/>
      <c r="B27" s="13"/>
      <c r="C27" s="13"/>
      <c r="D27" s="13"/>
      <c r="E27" s="17"/>
      <c r="F27" s="18"/>
      <c r="G27" s="19" t="str">
        <f aca="false">IF(OR(E27="",E27=0),"",F27/E27)</f>
        <v/>
      </c>
    </row>
    <row r="28" customFormat="false" ht="15" hidden="false" customHeight="false" outlineLevel="0" collapsed="false">
      <c r="A28" s="13"/>
      <c r="B28" s="13"/>
      <c r="C28" s="13"/>
      <c r="D28" s="13"/>
      <c r="E28" s="17"/>
      <c r="F28" s="18"/>
      <c r="G28" s="19" t="str">
        <f aca="false">IF(OR(E28="",E28=0),"",F28/E28)</f>
        <v/>
      </c>
    </row>
    <row r="29" customFormat="false" ht="15" hidden="false" customHeight="false" outlineLevel="0" collapsed="false">
      <c r="A29" s="13"/>
      <c r="B29" s="13"/>
      <c r="C29" s="13"/>
      <c r="D29" s="13"/>
      <c r="E29" s="17"/>
      <c r="F29" s="18"/>
      <c r="G29" s="19" t="str">
        <f aca="false">IF(OR(E29="",E29=0),"",F29/E29)</f>
        <v/>
      </c>
    </row>
    <row r="30" customFormat="false" ht="15" hidden="false" customHeight="false" outlineLevel="0" collapsed="false">
      <c r="A30" s="13"/>
      <c r="B30" s="13"/>
      <c r="C30" s="13"/>
      <c r="D30" s="13"/>
      <c r="E30" s="17"/>
      <c r="F30" s="18"/>
      <c r="G30" s="19" t="str">
        <f aca="false">IF(OR(E30="",E30=0),"",F30/E30)</f>
        <v/>
      </c>
    </row>
    <row r="31" customFormat="false" ht="15" hidden="false" customHeight="false" outlineLevel="0" collapsed="false">
      <c r="A31" s="13"/>
      <c r="B31" s="13"/>
      <c r="C31" s="13"/>
      <c r="D31" s="13"/>
      <c r="E31" s="17"/>
      <c r="F31" s="18"/>
      <c r="G31" s="19" t="str">
        <f aca="false">IF(OR(E31="",E31=0),"",F31/E31)</f>
        <v/>
      </c>
    </row>
    <row r="32" customFormat="false" ht="15" hidden="false" customHeight="false" outlineLevel="0" collapsed="false">
      <c r="A32" s="13"/>
      <c r="B32" s="13"/>
      <c r="C32" s="13"/>
      <c r="D32" s="13"/>
      <c r="E32" s="17"/>
      <c r="F32" s="18"/>
      <c r="G32" s="19" t="str">
        <f aca="false">IF(OR(E32="",E32=0),"",F32/E32)</f>
        <v/>
      </c>
    </row>
    <row r="33" customFormat="false" ht="15" hidden="false" customHeight="false" outlineLevel="0" collapsed="false">
      <c r="A33" s="13"/>
      <c r="B33" s="13"/>
      <c r="C33" s="13"/>
      <c r="D33" s="13"/>
      <c r="E33" s="17"/>
      <c r="F33" s="18"/>
      <c r="G33" s="19" t="str">
        <f aca="false">IF(OR(E33="",E33=0),"",F33/E33)</f>
        <v/>
      </c>
    </row>
    <row r="34" customFormat="false" ht="15" hidden="false" customHeight="false" outlineLevel="0" collapsed="false">
      <c r="A34" s="13"/>
      <c r="B34" s="13"/>
      <c r="C34" s="13"/>
      <c r="D34" s="13"/>
      <c r="E34" s="17"/>
      <c r="F34" s="18"/>
      <c r="G34" s="19" t="str">
        <f aca="false">IF(OR(E34="",E34=0),"",F34/E34)</f>
        <v/>
      </c>
    </row>
    <row r="35" customFormat="false" ht="15" hidden="false" customHeight="false" outlineLevel="0" collapsed="false">
      <c r="A35" s="13"/>
      <c r="B35" s="13"/>
      <c r="C35" s="13"/>
      <c r="D35" s="13"/>
      <c r="E35" s="17"/>
      <c r="F35" s="18"/>
      <c r="G35" s="19" t="str">
        <f aca="false">IF(OR(E35="",E35=0),"",F35/E35)</f>
        <v/>
      </c>
    </row>
    <row r="36" customFormat="false" ht="15" hidden="false" customHeight="false" outlineLevel="0" collapsed="false">
      <c r="A36" s="13"/>
      <c r="B36" s="13"/>
      <c r="C36" s="13"/>
      <c r="D36" s="13"/>
      <c r="E36" s="17"/>
      <c r="F36" s="18"/>
      <c r="G36" s="19" t="str">
        <f aca="false">IF(OR(E36="",E36=0),"",F36/E36)</f>
        <v/>
      </c>
    </row>
    <row r="37" customFormat="false" ht="15" hidden="false" customHeight="false" outlineLevel="0" collapsed="false">
      <c r="A37" s="13"/>
      <c r="B37" s="13"/>
      <c r="C37" s="13"/>
      <c r="D37" s="13"/>
      <c r="E37" s="17"/>
      <c r="F37" s="18"/>
      <c r="G37" s="19" t="str">
        <f aca="false">IF(OR(E37="",E37=0),"",F37/E37)</f>
        <v/>
      </c>
    </row>
    <row r="38" customFormat="false" ht="15" hidden="false" customHeight="false" outlineLevel="0" collapsed="false">
      <c r="A38" s="13"/>
      <c r="B38" s="13"/>
      <c r="C38" s="13"/>
      <c r="D38" s="13"/>
      <c r="E38" s="17"/>
      <c r="F38" s="18"/>
      <c r="G38" s="19" t="str">
        <f aca="false">IF(OR(E38="",E38=0),"",F38/E38)</f>
        <v/>
      </c>
    </row>
    <row r="39" customFormat="false" ht="15" hidden="false" customHeight="false" outlineLevel="0" collapsed="false">
      <c r="A39" s="13"/>
      <c r="B39" s="13"/>
      <c r="C39" s="13"/>
      <c r="D39" s="13"/>
      <c r="E39" s="17"/>
      <c r="F39" s="18"/>
      <c r="G39" s="19" t="str">
        <f aca="false">IF(OR(E39="",E39=0),"",F39/E39)</f>
        <v/>
      </c>
    </row>
    <row r="40" customFormat="false" ht="15" hidden="false" customHeight="false" outlineLevel="0" collapsed="false">
      <c r="A40" s="13"/>
      <c r="B40" s="13"/>
      <c r="C40" s="13"/>
      <c r="D40" s="13"/>
      <c r="E40" s="17"/>
      <c r="F40" s="18"/>
      <c r="G40" s="19" t="str">
        <f aca="false">IF(OR(E40="",E40=0),"",F40/E40)</f>
        <v/>
      </c>
    </row>
    <row r="41" customFormat="false" ht="15" hidden="false" customHeight="false" outlineLevel="0" collapsed="false">
      <c r="A41" s="13"/>
      <c r="B41" s="13"/>
      <c r="C41" s="13"/>
      <c r="D41" s="13"/>
      <c r="E41" s="17"/>
      <c r="F41" s="18"/>
      <c r="G41" s="19" t="str">
        <f aca="false">IF(OR(E41="",E41=0),"",F41/E41)</f>
        <v/>
      </c>
    </row>
    <row r="42" customFormat="false" ht="15" hidden="false" customHeight="false" outlineLevel="0" collapsed="false">
      <c r="A42" s="13"/>
      <c r="B42" s="13"/>
      <c r="C42" s="13"/>
      <c r="D42" s="13"/>
      <c r="E42" s="17"/>
      <c r="F42" s="18"/>
      <c r="G42" s="19" t="str">
        <f aca="false">IF(OR(E42="",E42=0),"",F42/E42)</f>
        <v/>
      </c>
    </row>
    <row r="43" customFormat="false" ht="15" hidden="false" customHeight="false" outlineLevel="0" collapsed="false">
      <c r="A43" s="13"/>
      <c r="B43" s="13"/>
      <c r="C43" s="13"/>
      <c r="D43" s="13"/>
      <c r="E43" s="17"/>
      <c r="F43" s="18"/>
      <c r="G43" s="19" t="str">
        <f aca="false">IF(OR(E43="",E43=0),"",F43/E43)</f>
        <v/>
      </c>
    </row>
    <row r="44" customFormat="false" ht="15" hidden="false" customHeight="false" outlineLevel="0" collapsed="false">
      <c r="A44" s="13"/>
      <c r="B44" s="13"/>
      <c r="C44" s="13"/>
      <c r="D44" s="13"/>
      <c r="E44" s="17"/>
      <c r="F44" s="18"/>
      <c r="G44" s="19" t="str">
        <f aca="false">IF(OR(E44="",E44=0),"",F44/E44)</f>
        <v/>
      </c>
    </row>
    <row r="45" customFormat="false" ht="15" hidden="false" customHeight="false" outlineLevel="0" collapsed="false">
      <c r="A45" s="13"/>
      <c r="B45" s="13"/>
      <c r="C45" s="13"/>
      <c r="D45" s="13"/>
      <c r="E45" s="17"/>
      <c r="F45" s="18"/>
      <c r="G45" s="19" t="str">
        <f aca="false">IF(OR(E45="",E45=0),"",F45/E45)</f>
        <v/>
      </c>
    </row>
    <row r="46" customFormat="false" ht="15" hidden="false" customHeight="false" outlineLevel="0" collapsed="false">
      <c r="A46" s="13"/>
      <c r="B46" s="13"/>
      <c r="C46" s="13"/>
      <c r="D46" s="13"/>
      <c r="E46" s="17"/>
      <c r="F46" s="18"/>
      <c r="G46" s="19" t="str">
        <f aca="false">IF(OR(E46="",E46=0),"",F46/E46)</f>
        <v/>
      </c>
    </row>
    <row r="47" customFormat="false" ht="15" hidden="false" customHeight="false" outlineLevel="0" collapsed="false">
      <c r="A47" s="13"/>
      <c r="B47" s="13"/>
      <c r="C47" s="13"/>
      <c r="D47" s="13"/>
      <c r="E47" s="17"/>
      <c r="F47" s="18"/>
      <c r="G47" s="19" t="str">
        <f aca="false">IF(OR(E47="",E47=0),"",F47/E47)</f>
        <v/>
      </c>
    </row>
    <row r="48" customFormat="false" ht="15" hidden="false" customHeight="false" outlineLevel="0" collapsed="false">
      <c r="A48" s="13"/>
      <c r="B48" s="13"/>
      <c r="C48" s="13"/>
      <c r="D48" s="13"/>
      <c r="E48" s="17"/>
      <c r="F48" s="18"/>
      <c r="G48" s="19" t="str">
        <f aca="false">IF(OR(E48="",E48=0),"",F48/E48)</f>
        <v/>
      </c>
    </row>
    <row r="49" customFormat="false" ht="15" hidden="false" customHeight="false" outlineLevel="0" collapsed="false">
      <c r="A49" s="13"/>
      <c r="B49" s="13"/>
      <c r="C49" s="13"/>
      <c r="D49" s="13"/>
      <c r="E49" s="17"/>
      <c r="F49" s="18"/>
      <c r="G49" s="19" t="str">
        <f aca="false">IF(OR(E49="",E49=0),"",F49/E49)</f>
        <v/>
      </c>
    </row>
    <row r="50" customFormat="false" ht="15" hidden="false" customHeight="false" outlineLevel="0" collapsed="false">
      <c r="A50" s="13"/>
      <c r="B50" s="13"/>
      <c r="C50" s="13"/>
      <c r="D50" s="13"/>
      <c r="E50" s="17"/>
      <c r="F50" s="18"/>
      <c r="G50" s="19" t="str">
        <f aca="false">IF(OR(E50="",E50=0),"",F50/E50)</f>
        <v/>
      </c>
    </row>
    <row r="51" customFormat="false" ht="15" hidden="false" customHeight="false" outlineLevel="0" collapsed="false">
      <c r="A51" s="13"/>
      <c r="B51" s="13"/>
      <c r="C51" s="13"/>
      <c r="D51" s="13"/>
      <c r="E51" s="17"/>
      <c r="F51" s="18"/>
      <c r="G51" s="19" t="str">
        <f aca="false">IF(OR(E51="",E51=0),"",F51/E51)</f>
        <v/>
      </c>
    </row>
    <row r="52" customFormat="false" ht="15" hidden="false" customHeight="false" outlineLevel="0" collapsed="false">
      <c r="A52" s="13"/>
      <c r="B52" s="13"/>
      <c r="C52" s="13"/>
      <c r="D52" s="13"/>
      <c r="E52" s="17"/>
      <c r="F52" s="18"/>
      <c r="G52" s="19" t="str">
        <f aca="false">IF(OR(E52="",E52=0),"",F52/E52)</f>
        <v/>
      </c>
    </row>
    <row r="53" customFormat="false" ht="15" hidden="false" customHeight="false" outlineLevel="0" collapsed="false">
      <c r="A53" s="13"/>
      <c r="B53" s="13"/>
      <c r="C53" s="13"/>
      <c r="D53" s="13"/>
      <c r="E53" s="17"/>
      <c r="F53" s="18"/>
      <c r="G53" s="19" t="str">
        <f aca="false">IF(OR(E53="",E53=0),"",F53/E53)</f>
        <v/>
      </c>
    </row>
    <row r="54" customFormat="false" ht="15" hidden="false" customHeight="false" outlineLevel="0" collapsed="false">
      <c r="A54" s="13"/>
      <c r="B54" s="13"/>
      <c r="C54" s="13"/>
      <c r="D54" s="13"/>
      <c r="E54" s="17"/>
      <c r="F54" s="18"/>
      <c r="G54" s="19" t="str">
        <f aca="false">IF(OR(E54="",E54=0),"",F54/E54)</f>
        <v/>
      </c>
    </row>
    <row r="55" customFormat="false" ht="15" hidden="false" customHeight="false" outlineLevel="0" collapsed="false">
      <c r="A55" s="13"/>
      <c r="B55" s="13"/>
      <c r="C55" s="13"/>
      <c r="D55" s="13"/>
      <c r="E55" s="17"/>
      <c r="F55" s="18"/>
      <c r="G55" s="19" t="str">
        <f aca="false">IF(OR(E55="",E55=0),"",F55/E55)</f>
        <v/>
      </c>
    </row>
    <row r="56" customFormat="false" ht="15" hidden="false" customHeight="false" outlineLevel="0" collapsed="false">
      <c r="A56" s="13"/>
      <c r="B56" s="13"/>
      <c r="C56" s="13"/>
      <c r="D56" s="13"/>
      <c r="E56" s="17"/>
      <c r="F56" s="18"/>
      <c r="G56" s="19" t="str">
        <f aca="false">IF(OR(E56="",E56=0),"",F56/E56)</f>
        <v/>
      </c>
    </row>
    <row r="57" customFormat="false" ht="15" hidden="false" customHeight="false" outlineLevel="0" collapsed="false">
      <c r="A57" s="13"/>
      <c r="B57" s="13"/>
      <c r="C57" s="13"/>
      <c r="D57" s="13"/>
      <c r="E57" s="17"/>
      <c r="F57" s="18"/>
      <c r="G57" s="19" t="str">
        <f aca="false">IF(OR(E57="",E57=0),"",F57/E57)</f>
        <v/>
      </c>
    </row>
    <row r="58" customFormat="false" ht="15" hidden="false" customHeight="false" outlineLevel="0" collapsed="false">
      <c r="A58" s="13"/>
      <c r="B58" s="13"/>
      <c r="C58" s="13"/>
      <c r="D58" s="13"/>
      <c r="E58" s="17"/>
      <c r="F58" s="18"/>
      <c r="G58" s="19" t="str">
        <f aca="false">IF(OR(E58="",E58=0),"",F58/E58)</f>
        <v/>
      </c>
    </row>
    <row r="59" customFormat="false" ht="15" hidden="false" customHeight="false" outlineLevel="0" collapsed="false">
      <c r="A59" s="13"/>
      <c r="B59" s="13"/>
      <c r="C59" s="13"/>
      <c r="D59" s="13"/>
      <c r="E59" s="17"/>
      <c r="F59" s="18"/>
      <c r="G59" s="19" t="str">
        <f aca="false">IF(OR(E59="",E59=0),"",F59/E59)</f>
        <v/>
      </c>
    </row>
    <row r="60" customFormat="false" ht="15" hidden="false" customHeight="false" outlineLevel="0" collapsed="false">
      <c r="A60" s="13"/>
      <c r="B60" s="13"/>
      <c r="C60" s="13"/>
      <c r="D60" s="13"/>
      <c r="E60" s="17"/>
      <c r="F60" s="18"/>
      <c r="G60" s="19" t="str">
        <f aca="false">IF(OR(E60="",E60=0),"",F60/E60)</f>
        <v/>
      </c>
    </row>
    <row r="61" customFormat="false" ht="15" hidden="false" customHeight="false" outlineLevel="0" collapsed="false">
      <c r="A61" s="13"/>
      <c r="B61" s="13"/>
      <c r="C61" s="13"/>
      <c r="D61" s="13"/>
      <c r="E61" s="17"/>
      <c r="F61" s="18"/>
      <c r="G61" s="19" t="str">
        <f aca="false">IF(OR(E61="",E61=0),"",F61/E61)</f>
        <v/>
      </c>
    </row>
    <row r="62" customFormat="false" ht="15" hidden="false" customHeight="false" outlineLevel="0" collapsed="false">
      <c r="A62" s="13"/>
      <c r="B62" s="13"/>
      <c r="C62" s="13"/>
      <c r="D62" s="13"/>
      <c r="E62" s="17"/>
      <c r="F62" s="18"/>
      <c r="G62" s="19" t="str">
        <f aca="false">IF(OR(E62="",E62=0),"",F62/E62)</f>
        <v/>
      </c>
    </row>
    <row r="63" customFormat="false" ht="15" hidden="false" customHeight="false" outlineLevel="0" collapsed="false">
      <c r="A63" s="13"/>
      <c r="B63" s="13"/>
      <c r="C63" s="13"/>
      <c r="D63" s="13"/>
      <c r="E63" s="17"/>
      <c r="F63" s="18"/>
      <c r="G63" s="19" t="str">
        <f aca="false">IF(OR(E63="",E63=0),"",F63/E63)</f>
        <v/>
      </c>
    </row>
    <row r="64" customFormat="false" ht="15" hidden="false" customHeight="false" outlineLevel="0" collapsed="false">
      <c r="A64" s="13"/>
      <c r="B64" s="13"/>
      <c r="C64" s="13"/>
      <c r="D64" s="13"/>
      <c r="E64" s="17"/>
      <c r="F64" s="18"/>
      <c r="G64" s="19" t="str">
        <f aca="false">IF(OR(E64="",E64=0),"",F64/E64)</f>
        <v/>
      </c>
    </row>
    <row r="65" customFormat="false" ht="15" hidden="false" customHeight="false" outlineLevel="0" collapsed="false">
      <c r="A65" s="13"/>
      <c r="B65" s="13"/>
      <c r="C65" s="13"/>
      <c r="D65" s="13"/>
      <c r="E65" s="17"/>
      <c r="F65" s="18"/>
      <c r="G65" s="19" t="str">
        <f aca="false">IF(OR(E65="",E65=0),"",F65/E65)</f>
        <v/>
      </c>
    </row>
    <row r="66" customFormat="false" ht="15" hidden="false" customHeight="false" outlineLevel="0" collapsed="false">
      <c r="A66" s="13"/>
      <c r="B66" s="13"/>
      <c r="C66" s="13"/>
      <c r="D66" s="13"/>
      <c r="E66" s="17"/>
      <c r="F66" s="18"/>
      <c r="G66" s="19" t="str">
        <f aca="false">IF(OR(E66="",E66=0),"",F66/E66)</f>
        <v/>
      </c>
    </row>
    <row r="67" customFormat="false" ht="15" hidden="false" customHeight="false" outlineLevel="0" collapsed="false">
      <c r="A67" s="13"/>
      <c r="B67" s="13"/>
      <c r="C67" s="13"/>
      <c r="D67" s="13"/>
      <c r="E67" s="17"/>
      <c r="F67" s="18"/>
      <c r="G67" s="19" t="str">
        <f aca="false">IF(OR(E67="",E67=0),"",F67/E67)</f>
        <v/>
      </c>
    </row>
    <row r="68" customFormat="false" ht="15" hidden="false" customHeight="false" outlineLevel="0" collapsed="false">
      <c r="A68" s="13"/>
      <c r="B68" s="13"/>
      <c r="C68" s="13"/>
      <c r="D68" s="13"/>
      <c r="E68" s="17"/>
      <c r="F68" s="18"/>
      <c r="G68" s="19" t="str">
        <f aca="false">IF(OR(E68="",E68=0),"",F68/E68)</f>
        <v/>
      </c>
    </row>
    <row r="69" customFormat="false" ht="15" hidden="false" customHeight="false" outlineLevel="0" collapsed="false">
      <c r="A69" s="13"/>
      <c r="B69" s="13"/>
      <c r="C69" s="13"/>
      <c r="D69" s="13"/>
      <c r="E69" s="17"/>
      <c r="F69" s="18"/>
      <c r="G69" s="19" t="str">
        <f aca="false">IF(OR(E69="",E69=0),"",F69/E69)</f>
        <v/>
      </c>
    </row>
    <row r="70" customFormat="false" ht="15" hidden="false" customHeight="false" outlineLevel="0" collapsed="false">
      <c r="A70" s="13"/>
      <c r="B70" s="13"/>
      <c r="C70" s="13"/>
      <c r="D70" s="13"/>
      <c r="E70" s="17"/>
      <c r="F70" s="18"/>
      <c r="G70" s="19" t="str">
        <f aca="false">IF(OR(E70="",E70=0),"",F70/E70)</f>
        <v/>
      </c>
    </row>
    <row r="71" customFormat="false" ht="15" hidden="false" customHeight="false" outlineLevel="0" collapsed="false">
      <c r="A71" s="13"/>
      <c r="B71" s="13"/>
      <c r="C71" s="13"/>
      <c r="D71" s="13"/>
      <c r="E71" s="17"/>
      <c r="F71" s="18"/>
      <c r="G71" s="19" t="str">
        <f aca="false">IF(OR(E71="",E71=0),"",F71/E71)</f>
        <v/>
      </c>
    </row>
    <row r="72" customFormat="false" ht="15" hidden="false" customHeight="false" outlineLevel="0" collapsed="false">
      <c r="A72" s="13"/>
      <c r="B72" s="13"/>
      <c r="C72" s="13"/>
      <c r="D72" s="13"/>
      <c r="E72" s="17"/>
      <c r="F72" s="18"/>
      <c r="G72" s="19" t="str">
        <f aca="false">IF(OR(E72="",E72=0),"",F72/E72)</f>
        <v/>
      </c>
    </row>
    <row r="73" customFormat="false" ht="15" hidden="false" customHeight="false" outlineLevel="0" collapsed="false">
      <c r="A73" s="13"/>
      <c r="B73" s="13"/>
      <c r="C73" s="13"/>
      <c r="D73" s="13"/>
      <c r="E73" s="17"/>
      <c r="F73" s="18"/>
      <c r="G73" s="19" t="str">
        <f aca="false">IF(OR(E73="",E73=0),"",F73/E73)</f>
        <v/>
      </c>
    </row>
    <row r="74" customFormat="false" ht="15" hidden="false" customHeight="false" outlineLevel="0" collapsed="false">
      <c r="A74" s="13"/>
      <c r="B74" s="13"/>
      <c r="C74" s="13"/>
      <c r="D74" s="13"/>
      <c r="E74" s="17"/>
      <c r="F74" s="18"/>
      <c r="G74" s="19" t="str">
        <f aca="false">IF(OR(E74="",E74=0),"",F74/E74)</f>
        <v/>
      </c>
    </row>
    <row r="75" customFormat="false" ht="15" hidden="false" customHeight="false" outlineLevel="0" collapsed="false">
      <c r="A75" s="13"/>
      <c r="B75" s="13"/>
      <c r="C75" s="13"/>
      <c r="D75" s="13"/>
      <c r="E75" s="17"/>
      <c r="F75" s="18"/>
      <c r="G75" s="19" t="str">
        <f aca="false">IF(OR(E75="",E75=0),"",F75/E75)</f>
        <v/>
      </c>
    </row>
    <row r="76" customFormat="false" ht="15" hidden="false" customHeight="false" outlineLevel="0" collapsed="false">
      <c r="A76" s="13"/>
      <c r="B76" s="13"/>
      <c r="C76" s="13"/>
      <c r="D76" s="13"/>
      <c r="E76" s="17"/>
      <c r="F76" s="18"/>
      <c r="G76" s="19" t="str">
        <f aca="false">IF(OR(E76="",E76=0),"",F76/E76)</f>
        <v/>
      </c>
    </row>
    <row r="77" customFormat="false" ht="15" hidden="false" customHeight="false" outlineLevel="0" collapsed="false">
      <c r="A77" s="13"/>
      <c r="B77" s="13"/>
      <c r="C77" s="13"/>
      <c r="D77" s="13"/>
      <c r="E77" s="17"/>
      <c r="F77" s="18"/>
      <c r="G77" s="19" t="str">
        <f aca="false">IF(OR(E77="",E77=0),"",F77/E77)</f>
        <v/>
      </c>
    </row>
    <row r="78" customFormat="false" ht="15" hidden="false" customHeight="false" outlineLevel="0" collapsed="false">
      <c r="A78" s="13"/>
      <c r="B78" s="13"/>
      <c r="C78" s="13"/>
      <c r="D78" s="13"/>
      <c r="E78" s="17"/>
      <c r="F78" s="18"/>
      <c r="G78" s="19" t="str">
        <f aca="false">IF(OR(E78="",E78=0),"",F78/E78)</f>
        <v/>
      </c>
    </row>
    <row r="79" customFormat="false" ht="15" hidden="false" customHeight="false" outlineLevel="0" collapsed="false">
      <c r="A79" s="13"/>
      <c r="B79" s="13"/>
      <c r="C79" s="13"/>
      <c r="D79" s="13"/>
      <c r="E79" s="17"/>
      <c r="F79" s="18"/>
      <c r="G79" s="19" t="str">
        <f aca="false">IF(OR(E79="",E79=0),"",F79/E79)</f>
        <v/>
      </c>
    </row>
    <row r="80" customFormat="false" ht="15" hidden="false" customHeight="false" outlineLevel="0" collapsed="false">
      <c r="A80" s="13"/>
      <c r="B80" s="13"/>
      <c r="C80" s="13"/>
      <c r="D80" s="13"/>
      <c r="E80" s="17"/>
      <c r="F80" s="18"/>
      <c r="G80" s="19" t="str">
        <f aca="false">IF(OR(E80="",E80=0),"",F80/E80)</f>
        <v/>
      </c>
    </row>
    <row r="81" customFormat="false" ht="15" hidden="false" customHeight="false" outlineLevel="0" collapsed="false">
      <c r="A81" s="13"/>
      <c r="B81" s="13"/>
      <c r="C81" s="13"/>
      <c r="D81" s="13"/>
      <c r="E81" s="17"/>
      <c r="F81" s="18"/>
      <c r="G81" s="19" t="str">
        <f aca="false">IF(OR(E81="",E81=0),"",F81/E81)</f>
        <v/>
      </c>
    </row>
    <row r="82" customFormat="false" ht="15" hidden="false" customHeight="false" outlineLevel="0" collapsed="false">
      <c r="A82" s="13"/>
      <c r="B82" s="13"/>
      <c r="C82" s="13"/>
      <c r="D82" s="13"/>
      <c r="E82" s="17"/>
      <c r="F82" s="18"/>
      <c r="G82" s="19" t="str">
        <f aca="false">IF(OR(E82="",E82=0),"",F82/E82)</f>
        <v/>
      </c>
    </row>
    <row r="83" customFormat="false" ht="15" hidden="false" customHeight="false" outlineLevel="0" collapsed="false">
      <c r="A83" s="13"/>
      <c r="B83" s="13"/>
      <c r="C83" s="13"/>
      <c r="D83" s="13"/>
      <c r="E83" s="17"/>
      <c r="F83" s="18"/>
      <c r="G83" s="19" t="str">
        <f aca="false">IF(OR(E83="",E83=0),"",F83/E83)</f>
        <v/>
      </c>
    </row>
    <row r="84" customFormat="false" ht="15" hidden="false" customHeight="false" outlineLevel="0" collapsed="false">
      <c r="A84" s="13"/>
      <c r="B84" s="13"/>
      <c r="C84" s="13"/>
      <c r="D84" s="13"/>
      <c r="E84" s="17"/>
      <c r="F84" s="18"/>
      <c r="G84" s="19" t="str">
        <f aca="false">IF(OR(E84="",E84=0),"",F84/E84)</f>
        <v/>
      </c>
    </row>
    <row r="85" customFormat="false" ht="15" hidden="false" customHeight="false" outlineLevel="0" collapsed="false">
      <c r="A85" s="13"/>
      <c r="B85" s="13"/>
      <c r="C85" s="13"/>
      <c r="D85" s="13"/>
      <c r="E85" s="17"/>
      <c r="F85" s="18"/>
      <c r="G85" s="19" t="str">
        <f aca="false">IF(OR(E85="",E85=0),"",F85/E85)</f>
        <v/>
      </c>
    </row>
    <row r="86" customFormat="false" ht="15" hidden="false" customHeight="false" outlineLevel="0" collapsed="false">
      <c r="A86" s="13"/>
      <c r="B86" s="13"/>
      <c r="C86" s="13"/>
      <c r="D86" s="13"/>
      <c r="E86" s="17"/>
      <c r="F86" s="18"/>
      <c r="G86" s="19" t="str">
        <f aca="false">IF(OR(E86="",E86=0),"",F86/E86)</f>
        <v/>
      </c>
    </row>
    <row r="87" customFormat="false" ht="15" hidden="false" customHeight="false" outlineLevel="0" collapsed="false">
      <c r="A87" s="13"/>
      <c r="B87" s="13"/>
      <c r="C87" s="13"/>
      <c r="D87" s="13"/>
      <c r="E87" s="17"/>
      <c r="F87" s="18"/>
      <c r="G87" s="19" t="str">
        <f aca="false">IF(OR(E87="",E87=0),"",F87/E87)</f>
        <v/>
      </c>
    </row>
    <row r="88" customFormat="false" ht="15" hidden="false" customHeight="false" outlineLevel="0" collapsed="false">
      <c r="A88" s="13"/>
      <c r="B88" s="13"/>
      <c r="C88" s="13"/>
      <c r="D88" s="13"/>
      <c r="E88" s="17"/>
      <c r="F88" s="18"/>
      <c r="G88" s="19" t="str">
        <f aca="false">IF(OR(E88="",E88=0),"",F88/E88)</f>
        <v/>
      </c>
    </row>
    <row r="89" customFormat="false" ht="15" hidden="false" customHeight="false" outlineLevel="0" collapsed="false">
      <c r="A89" s="13"/>
      <c r="B89" s="13"/>
      <c r="C89" s="13"/>
      <c r="D89" s="13"/>
      <c r="E89" s="17"/>
      <c r="F89" s="18"/>
      <c r="G89" s="19" t="str">
        <f aca="false">IF(OR(E89="",E89=0),"",F89/E89)</f>
        <v/>
      </c>
    </row>
    <row r="90" customFormat="false" ht="15" hidden="false" customHeight="false" outlineLevel="0" collapsed="false">
      <c r="A90" s="13"/>
      <c r="B90" s="13"/>
      <c r="C90" s="13"/>
      <c r="D90" s="13"/>
      <c r="E90" s="17"/>
      <c r="F90" s="18"/>
      <c r="G90" s="19" t="str">
        <f aca="false">IF(OR(E90="",E90=0),"",F90/E90)</f>
        <v/>
      </c>
    </row>
    <row r="91" customFormat="false" ht="15" hidden="false" customHeight="false" outlineLevel="0" collapsed="false">
      <c r="A91" s="13"/>
      <c r="B91" s="13"/>
      <c r="C91" s="13"/>
      <c r="D91" s="13"/>
      <c r="E91" s="17"/>
      <c r="F91" s="18"/>
      <c r="G91" s="19" t="str">
        <f aca="false">IF(OR(E91="",E91=0),"",F91/E91)</f>
        <v/>
      </c>
    </row>
    <row r="92" customFormat="false" ht="15" hidden="false" customHeight="false" outlineLevel="0" collapsed="false">
      <c r="A92" s="13"/>
      <c r="B92" s="13"/>
      <c r="C92" s="13"/>
      <c r="D92" s="13"/>
      <c r="E92" s="17"/>
      <c r="F92" s="18"/>
      <c r="G92" s="19" t="str">
        <f aca="false">IF(OR(E92="",E92=0),"",F92/E92)</f>
        <v/>
      </c>
    </row>
    <row r="93" customFormat="false" ht="15" hidden="false" customHeight="false" outlineLevel="0" collapsed="false">
      <c r="A93" s="13"/>
      <c r="B93" s="13"/>
      <c r="C93" s="13"/>
      <c r="D93" s="13"/>
      <c r="E93" s="17"/>
      <c r="F93" s="18"/>
      <c r="G93" s="19" t="str">
        <f aca="false">IF(OR(E93="",E93=0),"",F93/E93)</f>
        <v/>
      </c>
    </row>
    <row r="94" customFormat="false" ht="15" hidden="false" customHeight="false" outlineLevel="0" collapsed="false">
      <c r="A94" s="13"/>
      <c r="B94" s="13"/>
      <c r="C94" s="13"/>
      <c r="D94" s="13"/>
      <c r="E94" s="17"/>
      <c r="F94" s="18"/>
      <c r="G94" s="19" t="str">
        <f aca="false">IF(OR(E94="",E94=0),"",F94/E94)</f>
        <v/>
      </c>
    </row>
    <row r="95" customFormat="false" ht="15" hidden="false" customHeight="false" outlineLevel="0" collapsed="false">
      <c r="A95" s="13"/>
      <c r="B95" s="13"/>
      <c r="C95" s="13"/>
      <c r="D95" s="13"/>
      <c r="E95" s="17"/>
      <c r="F95" s="18"/>
      <c r="G95" s="19" t="str">
        <f aca="false">IF(OR(E95="",E95=0),"",F95/E95)</f>
        <v/>
      </c>
    </row>
    <row r="96" customFormat="false" ht="15" hidden="false" customHeight="false" outlineLevel="0" collapsed="false">
      <c r="A96" s="13"/>
      <c r="B96" s="13"/>
      <c r="C96" s="13"/>
      <c r="D96" s="13"/>
      <c r="E96" s="17"/>
      <c r="F96" s="18"/>
      <c r="G96" s="19" t="str">
        <f aca="false">IF(OR(E96="",E96=0),"",F96/E96)</f>
        <v/>
      </c>
    </row>
    <row r="97" customFormat="false" ht="15" hidden="false" customHeight="false" outlineLevel="0" collapsed="false">
      <c r="A97" s="13"/>
      <c r="B97" s="13"/>
      <c r="C97" s="13"/>
      <c r="D97" s="13"/>
      <c r="E97" s="17"/>
      <c r="F97" s="18"/>
      <c r="G97" s="19" t="str">
        <f aca="false">IF(OR(E97="",E97=0),"",F97/E97)</f>
        <v/>
      </c>
    </row>
    <row r="98" customFormat="false" ht="15" hidden="false" customHeight="false" outlineLevel="0" collapsed="false">
      <c r="A98" s="13"/>
      <c r="B98" s="13"/>
      <c r="C98" s="13"/>
      <c r="D98" s="13"/>
      <c r="E98" s="17"/>
      <c r="F98" s="18"/>
      <c r="G98" s="19" t="str">
        <f aca="false">IF(OR(E98="",E98=0),"",F98/E98)</f>
        <v/>
      </c>
    </row>
    <row r="99" customFormat="false" ht="15" hidden="false" customHeight="false" outlineLevel="0" collapsed="false">
      <c r="A99" s="13"/>
      <c r="B99" s="13"/>
      <c r="C99" s="13"/>
      <c r="D99" s="13"/>
      <c r="E99" s="17"/>
      <c r="F99" s="18"/>
      <c r="G99" s="19" t="str">
        <f aca="false">IF(OR(E99="",E99=0),"",F99/E99)</f>
        <v/>
      </c>
    </row>
    <row r="100" customFormat="false" ht="15" hidden="false" customHeight="false" outlineLevel="0" collapsed="false">
      <c r="A100" s="13"/>
      <c r="B100" s="13"/>
      <c r="C100" s="13"/>
      <c r="D100" s="13"/>
      <c r="E100" s="17"/>
      <c r="F100" s="18"/>
      <c r="G100" s="19" t="str">
        <f aca="false">IF(OR(E100="",E100=0),"",F100/E100)</f>
        <v/>
      </c>
    </row>
    <row r="101" customFormat="false" ht="15" hidden="false" customHeight="false" outlineLevel="0" collapsed="false">
      <c r="A101" s="13"/>
      <c r="B101" s="13"/>
      <c r="C101" s="13"/>
      <c r="D101" s="13"/>
      <c r="E101" s="17"/>
      <c r="F101" s="18"/>
      <c r="G101" s="19" t="str">
        <f aca="false">IF(OR(E101="",E101=0),"",F101/E101)</f>
        <v/>
      </c>
    </row>
    <row r="102" customFormat="false" ht="15" hidden="false" customHeight="false" outlineLevel="0" collapsed="false">
      <c r="A102" s="13"/>
      <c r="B102" s="13"/>
      <c r="C102" s="13"/>
      <c r="D102" s="13"/>
      <c r="E102" s="17"/>
      <c r="F102" s="18"/>
      <c r="G102" s="19" t="str">
        <f aca="false">IF(OR(E102="",E102=0),"",F102/E102)</f>
        <v/>
      </c>
    </row>
    <row r="103" customFormat="false" ht="15" hidden="false" customHeight="false" outlineLevel="0" collapsed="false">
      <c r="A103" s="13"/>
      <c r="B103" s="13"/>
      <c r="C103" s="13"/>
      <c r="D103" s="13"/>
      <c r="E103" s="17"/>
      <c r="F103" s="18"/>
      <c r="G103" s="19" t="str">
        <f aca="false">IF(OR(E103="",E103=0),"",F103/E103)</f>
        <v/>
      </c>
    </row>
    <row r="104" customFormat="false" ht="15" hidden="false" customHeight="false" outlineLevel="0" collapsed="false">
      <c r="A104" s="13"/>
      <c r="B104" s="13"/>
      <c r="C104" s="13"/>
      <c r="D104" s="13"/>
      <c r="E104" s="17"/>
      <c r="F104" s="18"/>
      <c r="G104" s="19" t="str">
        <f aca="false">IF(OR(E104="",E104=0),"",F104/E104)</f>
        <v/>
      </c>
    </row>
    <row r="105" customFormat="false" ht="15" hidden="false" customHeight="false" outlineLevel="0" collapsed="false">
      <c r="A105" s="13"/>
      <c r="B105" s="13"/>
      <c r="C105" s="13"/>
      <c r="D105" s="13"/>
      <c r="E105" s="17"/>
      <c r="F105" s="18"/>
      <c r="G105" s="19" t="str">
        <f aca="false">IF(OR(E105="",E105=0),"",F105/E105)</f>
        <v/>
      </c>
    </row>
    <row r="106" customFormat="false" ht="15" hidden="false" customHeight="false" outlineLevel="0" collapsed="false">
      <c r="A106" s="13"/>
      <c r="B106" s="13"/>
      <c r="C106" s="13"/>
      <c r="D106" s="13"/>
      <c r="E106" s="17"/>
      <c r="F106" s="18"/>
      <c r="G106" s="19" t="str">
        <f aca="false">IF(OR(E106="",E106=0),"",F106/E106)</f>
        <v/>
      </c>
    </row>
    <row r="107" customFormat="false" ht="15" hidden="false" customHeight="false" outlineLevel="0" collapsed="false">
      <c r="A107" s="13"/>
      <c r="B107" s="13"/>
      <c r="C107" s="13"/>
      <c r="D107" s="13"/>
      <c r="E107" s="17"/>
      <c r="F107" s="18"/>
      <c r="G107" s="19" t="str">
        <f aca="false">IF(OR(E107="",E107=0),"",F107/E107)</f>
        <v/>
      </c>
    </row>
    <row r="108" customFormat="false" ht="15" hidden="false" customHeight="false" outlineLevel="0" collapsed="false">
      <c r="A108" s="13"/>
      <c r="B108" s="13"/>
      <c r="C108" s="13"/>
      <c r="D108" s="13"/>
      <c r="E108" s="17"/>
      <c r="F108" s="18"/>
      <c r="G108" s="19" t="str">
        <f aca="false">IF(OR(E108="",E108=0),"",F108/E108)</f>
        <v/>
      </c>
    </row>
    <row r="109" customFormat="false" ht="15" hidden="false" customHeight="false" outlineLevel="0" collapsed="false">
      <c r="A109" s="13"/>
      <c r="B109" s="13"/>
      <c r="C109" s="13"/>
      <c r="D109" s="13"/>
      <c r="E109" s="17"/>
      <c r="F109" s="18"/>
      <c r="G109" s="19" t="str">
        <f aca="false">IF(OR(E109="",E109=0),"",F109/E109)</f>
        <v/>
      </c>
    </row>
    <row r="110" customFormat="false" ht="15" hidden="false" customHeight="false" outlineLevel="0" collapsed="false">
      <c r="A110" s="13"/>
      <c r="B110" s="13"/>
      <c r="C110" s="13"/>
      <c r="D110" s="13"/>
      <c r="E110" s="17"/>
      <c r="F110" s="18"/>
      <c r="G110" s="19" t="str">
        <f aca="false">IF(OR(E110="",E110=0),"",F110/E110)</f>
        <v/>
      </c>
    </row>
    <row r="111" customFormat="false" ht="15" hidden="false" customHeight="false" outlineLevel="0" collapsed="false">
      <c r="A111" s="13"/>
      <c r="B111" s="13"/>
      <c r="C111" s="13"/>
      <c r="D111" s="13"/>
      <c r="E111" s="17"/>
      <c r="F111" s="18"/>
      <c r="G111" s="19" t="str">
        <f aca="false">IF(OR(E111="",E111=0),"",F111/E111)</f>
        <v/>
      </c>
    </row>
    <row r="112" customFormat="false" ht="15" hidden="false" customHeight="false" outlineLevel="0" collapsed="false">
      <c r="A112" s="13"/>
      <c r="B112" s="13"/>
      <c r="C112" s="13"/>
      <c r="D112" s="13"/>
      <c r="E112" s="17"/>
      <c r="F112" s="18"/>
      <c r="G112" s="19" t="str">
        <f aca="false">IF(OR(E112="",E112=0),"",F112/E112)</f>
        <v/>
      </c>
    </row>
    <row r="113" customFormat="false" ht="15" hidden="false" customHeight="false" outlineLevel="0" collapsed="false">
      <c r="A113" s="13"/>
      <c r="B113" s="13"/>
      <c r="C113" s="13"/>
      <c r="D113" s="13"/>
      <c r="E113" s="17"/>
      <c r="F113" s="18"/>
      <c r="G113" s="19" t="str">
        <f aca="false">IF(OR(E113="",E113=0),"",F113/E113)</f>
        <v/>
      </c>
    </row>
    <row r="114" customFormat="false" ht="15" hidden="false" customHeight="false" outlineLevel="0" collapsed="false">
      <c r="A114" s="13"/>
      <c r="B114" s="13"/>
      <c r="C114" s="13"/>
      <c r="D114" s="13"/>
      <c r="E114" s="17"/>
      <c r="F114" s="18"/>
      <c r="G114" s="19" t="str">
        <f aca="false">IF(OR(E114="",E114=0),"",F114/E114)</f>
        <v/>
      </c>
    </row>
    <row r="115" customFormat="false" ht="15" hidden="false" customHeight="false" outlineLevel="0" collapsed="false">
      <c r="A115" s="13"/>
      <c r="B115" s="13"/>
      <c r="C115" s="13"/>
      <c r="D115" s="13"/>
      <c r="E115" s="17"/>
      <c r="F115" s="18"/>
      <c r="G115" s="19" t="str">
        <f aca="false">IF(OR(E115="",E115=0),"",F115/E115)</f>
        <v/>
      </c>
    </row>
    <row r="116" customFormat="false" ht="15" hidden="false" customHeight="false" outlineLevel="0" collapsed="false">
      <c r="A116" s="13"/>
      <c r="B116" s="13"/>
      <c r="C116" s="13"/>
      <c r="D116" s="13"/>
      <c r="E116" s="17"/>
      <c r="F116" s="18"/>
      <c r="G116" s="19" t="str">
        <f aca="false">IF(OR(E116="",E116=0),"",F116/E116)</f>
        <v/>
      </c>
    </row>
    <row r="117" customFormat="false" ht="15" hidden="false" customHeight="false" outlineLevel="0" collapsed="false">
      <c r="A117" s="13"/>
      <c r="B117" s="13"/>
      <c r="C117" s="13"/>
      <c r="D117" s="13"/>
      <c r="E117" s="17"/>
      <c r="F117" s="18"/>
      <c r="G117" s="19" t="str">
        <f aca="false">IF(OR(E117="",E117=0),"",F117/E117)</f>
        <v/>
      </c>
    </row>
    <row r="118" customFormat="false" ht="15" hidden="false" customHeight="false" outlineLevel="0" collapsed="false">
      <c r="A118" s="13"/>
      <c r="B118" s="13"/>
      <c r="C118" s="13"/>
      <c r="D118" s="13"/>
      <c r="E118" s="17"/>
      <c r="F118" s="18"/>
      <c r="G118" s="19" t="str">
        <f aca="false">IF(OR(E118="",E118=0),"",F118/E118)</f>
        <v/>
      </c>
    </row>
    <row r="119" customFormat="false" ht="15" hidden="false" customHeight="false" outlineLevel="0" collapsed="false">
      <c r="A119" s="13"/>
      <c r="B119" s="13"/>
      <c r="C119" s="13"/>
      <c r="D119" s="13"/>
      <c r="E119" s="17"/>
      <c r="F119" s="18"/>
      <c r="G119" s="19" t="str">
        <f aca="false">IF(OR(E119="",E119=0),"",F119/E119)</f>
        <v/>
      </c>
    </row>
    <row r="120" customFormat="false" ht="15" hidden="false" customHeight="false" outlineLevel="0" collapsed="false">
      <c r="A120" s="13"/>
      <c r="B120" s="13"/>
      <c r="C120" s="13"/>
      <c r="D120" s="13"/>
      <c r="E120" s="17"/>
      <c r="F120" s="18"/>
      <c r="G120" s="19" t="str">
        <f aca="false">IF(OR(E120="",E120=0),"",F120/E120)</f>
        <v/>
      </c>
    </row>
    <row r="121" customFormat="false" ht="15" hidden="false" customHeight="false" outlineLevel="0" collapsed="false">
      <c r="A121" s="13"/>
      <c r="B121" s="13"/>
      <c r="C121" s="13"/>
      <c r="D121" s="13"/>
      <c r="E121" s="17"/>
      <c r="F121" s="18"/>
      <c r="G121" s="19" t="str">
        <f aca="false">IF(OR(E121="",E121=0),"",F121/E121)</f>
        <v/>
      </c>
    </row>
    <row r="122" customFormat="false" ht="15" hidden="false" customHeight="false" outlineLevel="0" collapsed="false">
      <c r="A122" s="13"/>
      <c r="B122" s="13"/>
      <c r="C122" s="13"/>
      <c r="D122" s="13"/>
      <c r="E122" s="17"/>
      <c r="F122" s="18"/>
      <c r="G122" s="19" t="str">
        <f aca="false">IF(OR(E122="",E122=0),"",F122/E122)</f>
        <v/>
      </c>
    </row>
    <row r="123" customFormat="false" ht="15" hidden="false" customHeight="false" outlineLevel="0" collapsed="false">
      <c r="A123" s="13"/>
      <c r="B123" s="13"/>
      <c r="C123" s="13"/>
      <c r="D123" s="13"/>
      <c r="E123" s="17"/>
      <c r="F123" s="18"/>
      <c r="G123" s="19" t="str">
        <f aca="false">IF(OR(E123="",E123=0),"",F123/E123)</f>
        <v/>
      </c>
    </row>
    <row r="124" customFormat="false" ht="15" hidden="false" customHeight="false" outlineLevel="0" collapsed="false">
      <c r="A124" s="13"/>
      <c r="B124" s="13"/>
      <c r="C124" s="13"/>
      <c r="D124" s="13"/>
      <c r="E124" s="17"/>
      <c r="F124" s="18"/>
      <c r="G124" s="19" t="str">
        <f aca="false">IF(OR(E124="",E124=0),"",F124/E124)</f>
        <v/>
      </c>
    </row>
    <row r="125" customFormat="false" ht="15" hidden="false" customHeight="false" outlineLevel="0" collapsed="false">
      <c r="A125" s="13"/>
      <c r="B125" s="13"/>
      <c r="C125" s="13"/>
      <c r="D125" s="13"/>
      <c r="E125" s="17"/>
      <c r="F125" s="18"/>
      <c r="G125" s="19" t="str">
        <f aca="false">IF(OR(E125="",E125=0),"",F125/E125)</f>
        <v/>
      </c>
    </row>
    <row r="126" customFormat="false" ht="15" hidden="false" customHeight="false" outlineLevel="0" collapsed="false">
      <c r="A126" s="13"/>
      <c r="B126" s="13"/>
      <c r="C126" s="13"/>
      <c r="D126" s="13"/>
      <c r="E126" s="17"/>
      <c r="F126" s="18"/>
      <c r="G126" s="19" t="str">
        <f aca="false">IF(OR(E126="",E126=0),"",F126/E126)</f>
        <v/>
      </c>
    </row>
    <row r="127" customFormat="false" ht="15" hidden="false" customHeight="false" outlineLevel="0" collapsed="false">
      <c r="A127" s="13"/>
      <c r="B127" s="13"/>
      <c r="C127" s="13"/>
      <c r="D127" s="13"/>
      <c r="E127" s="17"/>
      <c r="F127" s="18"/>
      <c r="G127" s="19" t="str">
        <f aca="false">IF(OR(E127="",E127=0),"",F127/E127)</f>
        <v/>
      </c>
    </row>
    <row r="128" customFormat="false" ht="15" hidden="false" customHeight="false" outlineLevel="0" collapsed="false">
      <c r="A128" s="13"/>
      <c r="B128" s="13"/>
      <c r="C128" s="13"/>
      <c r="D128" s="13"/>
      <c r="E128" s="17"/>
      <c r="F128" s="18"/>
      <c r="G128" s="19" t="str">
        <f aca="false">IF(OR(E128="",E128=0),"",F128/E128)</f>
        <v/>
      </c>
    </row>
    <row r="129" customFormat="false" ht="15" hidden="false" customHeight="false" outlineLevel="0" collapsed="false">
      <c r="A129" s="13"/>
      <c r="B129" s="13"/>
      <c r="C129" s="13"/>
      <c r="D129" s="13"/>
      <c r="E129" s="17"/>
      <c r="F129" s="18"/>
      <c r="G129" s="19" t="str">
        <f aca="false">IF(OR(E129="",E129=0),"",F129/E129)</f>
        <v/>
      </c>
    </row>
    <row r="130" customFormat="false" ht="15" hidden="false" customHeight="false" outlineLevel="0" collapsed="false">
      <c r="A130" s="13"/>
      <c r="B130" s="13"/>
      <c r="C130" s="13"/>
      <c r="D130" s="13"/>
      <c r="E130" s="17"/>
      <c r="F130" s="18"/>
      <c r="G130" s="19" t="str">
        <f aca="false">IF(OR(E130="",E130=0),"",F130/E130)</f>
        <v/>
      </c>
    </row>
    <row r="131" customFormat="false" ht="15" hidden="false" customHeight="false" outlineLevel="0" collapsed="false">
      <c r="A131" s="13"/>
      <c r="B131" s="13"/>
      <c r="C131" s="13"/>
      <c r="D131" s="13"/>
      <c r="E131" s="17"/>
      <c r="F131" s="18"/>
      <c r="G131" s="19" t="str">
        <f aca="false">IF(OR(E131="",E131=0),"",F131/E131)</f>
        <v/>
      </c>
    </row>
    <row r="132" customFormat="false" ht="15" hidden="false" customHeight="false" outlineLevel="0" collapsed="false">
      <c r="A132" s="13"/>
      <c r="B132" s="13"/>
      <c r="C132" s="13"/>
      <c r="D132" s="13"/>
      <c r="E132" s="17"/>
      <c r="F132" s="18"/>
      <c r="G132" s="19" t="str">
        <f aca="false">IF(OR(E132="",E132=0),"",F132/E132)</f>
        <v/>
      </c>
    </row>
    <row r="133" customFormat="false" ht="15" hidden="false" customHeight="false" outlineLevel="0" collapsed="false">
      <c r="A133" s="13"/>
      <c r="B133" s="13"/>
      <c r="C133" s="13"/>
      <c r="D133" s="13"/>
      <c r="E133" s="17"/>
      <c r="F133" s="18"/>
      <c r="G133" s="19" t="str">
        <f aca="false">IF(OR(E133="",E133=0),"",F133/E133)</f>
        <v/>
      </c>
    </row>
    <row r="134" customFormat="false" ht="15" hidden="false" customHeight="false" outlineLevel="0" collapsed="false">
      <c r="A134" s="13"/>
      <c r="B134" s="13"/>
      <c r="C134" s="13"/>
      <c r="D134" s="13"/>
      <c r="E134" s="17"/>
      <c r="F134" s="18"/>
      <c r="G134" s="19" t="str">
        <f aca="false">IF(OR(E134="",E134=0),"",F134/E134)</f>
        <v/>
      </c>
    </row>
    <row r="135" customFormat="false" ht="15" hidden="false" customHeight="false" outlineLevel="0" collapsed="false">
      <c r="A135" s="13"/>
      <c r="B135" s="13"/>
      <c r="C135" s="13"/>
      <c r="D135" s="13"/>
      <c r="E135" s="17"/>
      <c r="F135" s="18"/>
      <c r="G135" s="19" t="str">
        <f aca="false">IF(OR(E135="",E135=0),"",F135/E135)</f>
        <v/>
      </c>
    </row>
    <row r="136" customFormat="false" ht="15" hidden="false" customHeight="false" outlineLevel="0" collapsed="false">
      <c r="A136" s="13"/>
      <c r="B136" s="13"/>
      <c r="C136" s="13"/>
      <c r="D136" s="13"/>
      <c r="E136" s="17"/>
      <c r="F136" s="18"/>
      <c r="G136" s="19" t="str">
        <f aca="false">IF(OR(E136="",E136=0),"",F136/E136)</f>
        <v/>
      </c>
    </row>
    <row r="137" customFormat="false" ht="15" hidden="false" customHeight="false" outlineLevel="0" collapsed="false">
      <c r="A137" s="13"/>
      <c r="B137" s="13"/>
      <c r="C137" s="13"/>
      <c r="D137" s="13"/>
      <c r="E137" s="17"/>
      <c r="F137" s="18"/>
      <c r="G137" s="19" t="str">
        <f aca="false">IF(OR(E137="",E137=0),"",F137/E137)</f>
        <v/>
      </c>
    </row>
    <row r="138" customFormat="false" ht="15" hidden="false" customHeight="false" outlineLevel="0" collapsed="false">
      <c r="A138" s="13"/>
      <c r="B138" s="13"/>
      <c r="C138" s="13"/>
      <c r="D138" s="13"/>
      <c r="E138" s="17"/>
      <c r="F138" s="18"/>
      <c r="G138" s="19" t="str">
        <f aca="false">IF(OR(E138="",E138=0),"",F138/E138)</f>
        <v/>
      </c>
    </row>
    <row r="139" customFormat="false" ht="15" hidden="false" customHeight="false" outlineLevel="0" collapsed="false">
      <c r="A139" s="13"/>
      <c r="B139" s="13"/>
      <c r="C139" s="13"/>
      <c r="D139" s="13"/>
      <c r="E139" s="17"/>
      <c r="F139" s="18"/>
      <c r="G139" s="19" t="str">
        <f aca="false">IF(OR(E139="",E139=0),"",F139/E139)</f>
        <v/>
      </c>
    </row>
    <row r="140" customFormat="false" ht="15" hidden="false" customHeight="false" outlineLevel="0" collapsed="false">
      <c r="A140" s="13"/>
      <c r="B140" s="13"/>
      <c r="C140" s="13"/>
      <c r="D140" s="13"/>
      <c r="E140" s="17"/>
      <c r="F140" s="18"/>
      <c r="G140" s="19" t="str">
        <f aca="false">IF(OR(E140="",E140=0),"",F140/E140)</f>
        <v/>
      </c>
    </row>
    <row r="141" customFormat="false" ht="15" hidden="false" customHeight="false" outlineLevel="0" collapsed="false">
      <c r="A141" s="13"/>
      <c r="B141" s="13"/>
      <c r="C141" s="13"/>
      <c r="D141" s="13"/>
      <c r="E141" s="17"/>
      <c r="F141" s="18"/>
      <c r="G141" s="19" t="str">
        <f aca="false">IF(OR(E141="",E141=0),"",F141/E141)</f>
        <v/>
      </c>
    </row>
    <row r="142" customFormat="false" ht="15" hidden="false" customHeight="false" outlineLevel="0" collapsed="false">
      <c r="A142" s="13"/>
      <c r="B142" s="13"/>
      <c r="C142" s="13"/>
      <c r="D142" s="13"/>
      <c r="E142" s="17"/>
      <c r="F142" s="18"/>
      <c r="G142" s="19" t="str">
        <f aca="false">IF(OR(E142="",E142=0),"",F142/E142)</f>
        <v/>
      </c>
    </row>
    <row r="143" customFormat="false" ht="15" hidden="false" customHeight="false" outlineLevel="0" collapsed="false">
      <c r="A143" s="13"/>
      <c r="B143" s="13"/>
      <c r="C143" s="13"/>
      <c r="D143" s="13"/>
      <c r="E143" s="17"/>
      <c r="F143" s="18"/>
      <c r="G143" s="19" t="str">
        <f aca="false">IF(OR(E143="",E143=0),"",F143/E143)</f>
        <v/>
      </c>
    </row>
    <row r="144" customFormat="false" ht="15" hidden="false" customHeight="false" outlineLevel="0" collapsed="false">
      <c r="A144" s="13"/>
      <c r="B144" s="13"/>
      <c r="C144" s="13"/>
      <c r="D144" s="13"/>
      <c r="E144" s="17"/>
      <c r="F144" s="18"/>
      <c r="G144" s="19" t="str">
        <f aca="false">IF(OR(E144="",E144=0),"",F144/E144)</f>
        <v/>
      </c>
    </row>
    <row r="145" customFormat="false" ht="15" hidden="false" customHeight="false" outlineLevel="0" collapsed="false">
      <c r="A145" s="13"/>
      <c r="B145" s="13"/>
      <c r="C145" s="13"/>
      <c r="D145" s="13"/>
      <c r="E145" s="17"/>
      <c r="F145" s="18"/>
      <c r="G145" s="19" t="str">
        <f aca="false">IF(OR(E145="",E145=0),"",F145/E145)</f>
        <v/>
      </c>
    </row>
    <row r="146" customFormat="false" ht="15" hidden="false" customHeight="false" outlineLevel="0" collapsed="false">
      <c r="A146" s="13"/>
      <c r="B146" s="13"/>
      <c r="C146" s="13"/>
      <c r="D146" s="13"/>
      <c r="E146" s="17"/>
      <c r="F146" s="18"/>
      <c r="G146" s="19" t="str">
        <f aca="false">IF(OR(E146="",E146=0),"",F146/E146)</f>
        <v/>
      </c>
    </row>
    <row r="147" customFormat="false" ht="15" hidden="false" customHeight="false" outlineLevel="0" collapsed="false">
      <c r="A147" s="13"/>
      <c r="B147" s="13"/>
      <c r="C147" s="13"/>
      <c r="D147" s="13"/>
      <c r="E147" s="17"/>
      <c r="F147" s="18"/>
      <c r="G147" s="19" t="str">
        <f aca="false">IF(OR(E147="",E147=0),"",F147/E147)</f>
        <v/>
      </c>
    </row>
    <row r="148" customFormat="false" ht="15" hidden="false" customHeight="false" outlineLevel="0" collapsed="false">
      <c r="A148" s="13"/>
      <c r="B148" s="13"/>
      <c r="C148" s="13"/>
      <c r="D148" s="13"/>
      <c r="E148" s="17"/>
      <c r="F148" s="18"/>
      <c r="G148" s="19" t="str">
        <f aca="false">IF(OR(E148="",E148=0),"",F148/E148)</f>
        <v/>
      </c>
    </row>
    <row r="149" customFormat="false" ht="15" hidden="false" customHeight="false" outlineLevel="0" collapsed="false">
      <c r="A149" s="13"/>
      <c r="B149" s="13"/>
      <c r="C149" s="13"/>
      <c r="D149" s="13"/>
      <c r="E149" s="17"/>
      <c r="F149" s="18"/>
      <c r="G149" s="19" t="str">
        <f aca="false">IF(OR(E149="",E149=0),"",F149/E149)</f>
        <v/>
      </c>
    </row>
    <row r="150" customFormat="false" ht="15" hidden="false" customHeight="false" outlineLevel="0" collapsed="false">
      <c r="A150" s="13"/>
      <c r="B150" s="13"/>
      <c r="C150" s="13"/>
      <c r="D150" s="13"/>
      <c r="E150" s="17"/>
      <c r="F150" s="18"/>
      <c r="G150" s="19" t="str">
        <f aca="false">IF(OR(E150="",E150=0),"",F150/E150)</f>
        <v/>
      </c>
    </row>
    <row r="151" customFormat="false" ht="15" hidden="false" customHeight="false" outlineLevel="0" collapsed="false">
      <c r="A151" s="13"/>
      <c r="B151" s="13"/>
      <c r="C151" s="13"/>
      <c r="D151" s="13"/>
      <c r="E151" s="17"/>
      <c r="F151" s="18"/>
      <c r="G151" s="19" t="str">
        <f aca="false">IF(OR(E151="",E151=0),"",F151/E151)</f>
        <v/>
      </c>
    </row>
    <row r="152" customFormat="false" ht="15" hidden="false" customHeight="false" outlineLevel="0" collapsed="false">
      <c r="A152" s="13"/>
      <c r="B152" s="13"/>
      <c r="C152" s="13"/>
      <c r="D152" s="13"/>
      <c r="E152" s="17"/>
      <c r="F152" s="18"/>
      <c r="G152" s="19" t="str">
        <f aca="false">IF(OR(E152="",E152=0),"",F152/E152)</f>
        <v/>
      </c>
    </row>
    <row r="153" customFormat="false" ht="15" hidden="false" customHeight="false" outlineLevel="0" collapsed="false">
      <c r="A153" s="13"/>
      <c r="B153" s="13"/>
      <c r="C153" s="13"/>
      <c r="D153" s="13"/>
      <c r="E153" s="17"/>
      <c r="F153" s="18"/>
      <c r="G153" s="19" t="str">
        <f aca="false">IF(OR(E153="",E153=0),"",F153/E153)</f>
        <v/>
      </c>
    </row>
    <row r="154" customFormat="false" ht="15" hidden="false" customHeight="false" outlineLevel="0" collapsed="false">
      <c r="A154" s="13"/>
      <c r="B154" s="13"/>
      <c r="C154" s="13"/>
      <c r="D154" s="13"/>
      <c r="E154" s="17"/>
      <c r="F154" s="18"/>
      <c r="G154" s="19" t="str">
        <f aca="false">IF(OR(E154="",E154=0),"",F154/E154)</f>
        <v/>
      </c>
    </row>
    <row r="155" customFormat="false" ht="15" hidden="false" customHeight="false" outlineLevel="0" collapsed="false">
      <c r="A155" s="13"/>
      <c r="B155" s="13"/>
      <c r="C155" s="13"/>
      <c r="D155" s="13"/>
      <c r="E155" s="17"/>
      <c r="F155" s="18"/>
      <c r="G155" s="19" t="str">
        <f aca="false">IF(OR(E155="",E155=0),"",F155/E155)</f>
        <v/>
      </c>
    </row>
    <row r="156" customFormat="false" ht="15" hidden="false" customHeight="false" outlineLevel="0" collapsed="false">
      <c r="A156" s="13"/>
      <c r="B156" s="13"/>
      <c r="C156" s="13"/>
      <c r="D156" s="13"/>
      <c r="E156" s="17"/>
      <c r="F156" s="18"/>
      <c r="G156" s="19" t="str">
        <f aca="false">IF(OR(E156="",E156=0),"",F156/E156)</f>
        <v/>
      </c>
    </row>
    <row r="157" customFormat="false" ht="15" hidden="false" customHeight="false" outlineLevel="0" collapsed="false">
      <c r="A157" s="13"/>
      <c r="B157" s="13"/>
      <c r="C157" s="13"/>
      <c r="D157" s="13"/>
      <c r="E157" s="17"/>
      <c r="F157" s="18"/>
      <c r="G157" s="19" t="str">
        <f aca="false">IF(OR(E157="",E157=0),"",F157/E157)</f>
        <v/>
      </c>
    </row>
    <row r="158" customFormat="false" ht="15" hidden="false" customHeight="false" outlineLevel="0" collapsed="false">
      <c r="A158" s="13"/>
      <c r="B158" s="13"/>
      <c r="C158" s="13"/>
      <c r="D158" s="13"/>
      <c r="E158" s="17"/>
      <c r="F158" s="18"/>
      <c r="G158" s="19" t="str">
        <f aca="false">IF(OR(E158="",E158=0),"",F158/E158)</f>
        <v/>
      </c>
    </row>
    <row r="159" customFormat="false" ht="15" hidden="false" customHeight="false" outlineLevel="0" collapsed="false">
      <c r="A159" s="13"/>
      <c r="B159" s="13"/>
      <c r="C159" s="13"/>
      <c r="D159" s="13"/>
      <c r="E159" s="17"/>
      <c r="F159" s="18"/>
      <c r="G159" s="19" t="str">
        <f aca="false">IF(OR(E159="",E159=0),"",F159/E159)</f>
        <v/>
      </c>
    </row>
    <row r="160" customFormat="false" ht="15" hidden="false" customHeight="false" outlineLevel="0" collapsed="false">
      <c r="A160" s="13"/>
      <c r="B160" s="13"/>
      <c r="C160" s="13"/>
      <c r="D160" s="13"/>
      <c r="E160" s="17"/>
      <c r="F160" s="18"/>
      <c r="G160" s="19" t="str">
        <f aca="false">IF(OR(E160="",E160=0),"",F160/E160)</f>
        <v/>
      </c>
    </row>
    <row r="161" customFormat="false" ht="15" hidden="false" customHeight="false" outlineLevel="0" collapsed="false">
      <c r="A161" s="13"/>
      <c r="B161" s="13"/>
      <c r="C161" s="13"/>
      <c r="D161" s="13"/>
      <c r="E161" s="17"/>
      <c r="F161" s="18"/>
      <c r="G161" s="19" t="str">
        <f aca="false">IF(OR(E161="",E161=0),"",F161/E161)</f>
        <v/>
      </c>
    </row>
    <row r="162" customFormat="false" ht="15" hidden="false" customHeight="false" outlineLevel="0" collapsed="false">
      <c r="A162" s="13"/>
      <c r="B162" s="13"/>
      <c r="C162" s="13"/>
      <c r="D162" s="13"/>
      <c r="E162" s="17"/>
      <c r="F162" s="18"/>
      <c r="G162" s="19" t="str">
        <f aca="false">IF(OR(E162="",E162=0),"",F162/E162)</f>
        <v/>
      </c>
    </row>
    <row r="163" customFormat="false" ht="15" hidden="false" customHeight="false" outlineLevel="0" collapsed="false">
      <c r="A163" s="13"/>
      <c r="B163" s="13"/>
      <c r="C163" s="13"/>
      <c r="D163" s="13"/>
      <c r="E163" s="17"/>
      <c r="F163" s="18"/>
      <c r="G163" s="19" t="str">
        <f aca="false">IF(OR(E163="",E163=0),"",F163/E163)</f>
        <v/>
      </c>
    </row>
    <row r="164" customFormat="false" ht="15" hidden="false" customHeight="false" outlineLevel="0" collapsed="false">
      <c r="A164" s="13"/>
      <c r="B164" s="13"/>
      <c r="C164" s="13"/>
      <c r="D164" s="13"/>
      <c r="E164" s="17"/>
      <c r="F164" s="18"/>
      <c r="G164" s="19" t="str">
        <f aca="false">IF(OR(E164="",E164=0),"",F164/E164)</f>
        <v/>
      </c>
    </row>
    <row r="165" customFormat="false" ht="15" hidden="false" customHeight="false" outlineLevel="0" collapsed="false">
      <c r="A165" s="13"/>
      <c r="B165" s="13"/>
      <c r="C165" s="13"/>
      <c r="D165" s="13"/>
      <c r="E165" s="17"/>
      <c r="F165" s="18"/>
      <c r="G165" s="19" t="str">
        <f aca="false">IF(OR(E165="",E165=0),"",F165/E165)</f>
        <v/>
      </c>
    </row>
    <row r="166" customFormat="false" ht="15" hidden="false" customHeight="false" outlineLevel="0" collapsed="false">
      <c r="A166" s="13"/>
      <c r="B166" s="13"/>
      <c r="C166" s="13"/>
      <c r="D166" s="13"/>
      <c r="E166" s="17"/>
      <c r="F166" s="18"/>
      <c r="G166" s="19" t="str">
        <f aca="false">IF(OR(E166="",E166=0),"",F166/E166)</f>
        <v/>
      </c>
    </row>
    <row r="167" customFormat="false" ht="15" hidden="false" customHeight="false" outlineLevel="0" collapsed="false">
      <c r="A167" s="13"/>
      <c r="B167" s="13"/>
      <c r="C167" s="13"/>
      <c r="D167" s="13"/>
      <c r="E167" s="17"/>
      <c r="F167" s="18"/>
      <c r="G167" s="19" t="str">
        <f aca="false">IF(OR(E167="",E167=0),"",F167/E167)</f>
        <v/>
      </c>
    </row>
    <row r="168" customFormat="false" ht="15" hidden="false" customHeight="false" outlineLevel="0" collapsed="false">
      <c r="A168" s="13"/>
      <c r="B168" s="13"/>
      <c r="C168" s="13"/>
      <c r="D168" s="13"/>
      <c r="E168" s="17"/>
      <c r="F168" s="18"/>
      <c r="G168" s="19" t="str">
        <f aca="false">IF(OR(E168="",E168=0),"",F168/E168)</f>
        <v/>
      </c>
    </row>
    <row r="169" customFormat="false" ht="15" hidden="false" customHeight="false" outlineLevel="0" collapsed="false">
      <c r="A169" s="13"/>
      <c r="B169" s="13"/>
      <c r="C169" s="13"/>
      <c r="D169" s="13"/>
      <c r="E169" s="17"/>
      <c r="F169" s="18"/>
      <c r="G169" s="19" t="str">
        <f aca="false">IF(OR(E169="",E169=0),"",F169/E169)</f>
        <v/>
      </c>
    </row>
    <row r="170" customFormat="false" ht="15" hidden="false" customHeight="false" outlineLevel="0" collapsed="false">
      <c r="A170" s="13"/>
      <c r="B170" s="13"/>
      <c r="C170" s="13"/>
      <c r="D170" s="13"/>
      <c r="E170" s="17"/>
      <c r="F170" s="18"/>
      <c r="G170" s="19" t="str">
        <f aca="false">IF(OR(E170="",E170=0),"",F170/E170)</f>
        <v/>
      </c>
    </row>
    <row r="171" customFormat="false" ht="15" hidden="false" customHeight="false" outlineLevel="0" collapsed="false">
      <c r="A171" s="13"/>
      <c r="B171" s="13"/>
      <c r="C171" s="13"/>
      <c r="D171" s="13"/>
      <c r="E171" s="17"/>
      <c r="F171" s="18"/>
      <c r="G171" s="19" t="str">
        <f aca="false">IF(OR(E171="",E171=0),"",F171/E171)</f>
        <v/>
      </c>
    </row>
    <row r="172" customFormat="false" ht="15" hidden="false" customHeight="false" outlineLevel="0" collapsed="false">
      <c r="A172" s="13"/>
      <c r="B172" s="13"/>
      <c r="C172" s="13"/>
      <c r="D172" s="13"/>
      <c r="E172" s="17"/>
      <c r="F172" s="18"/>
      <c r="G172" s="19" t="str">
        <f aca="false">IF(OR(E172="",E172=0),"",F172/E172)</f>
        <v/>
      </c>
    </row>
    <row r="173" customFormat="false" ht="15" hidden="false" customHeight="false" outlineLevel="0" collapsed="false">
      <c r="A173" s="13"/>
      <c r="B173" s="13"/>
      <c r="C173" s="13"/>
      <c r="D173" s="13"/>
      <c r="E173" s="17"/>
      <c r="F173" s="18"/>
      <c r="G173" s="19" t="str">
        <f aca="false">IF(OR(E173="",E173=0),"",F173/E173)</f>
        <v/>
      </c>
    </row>
    <row r="174" customFormat="false" ht="15" hidden="false" customHeight="false" outlineLevel="0" collapsed="false">
      <c r="A174" s="13"/>
      <c r="B174" s="13"/>
      <c r="C174" s="13"/>
      <c r="D174" s="13"/>
      <c r="E174" s="17"/>
      <c r="F174" s="18"/>
      <c r="G174" s="19" t="str">
        <f aca="false">IF(OR(E174="",E174=0),"",F174/E174)</f>
        <v/>
      </c>
    </row>
    <row r="175" customFormat="false" ht="15" hidden="false" customHeight="false" outlineLevel="0" collapsed="false">
      <c r="A175" s="13"/>
      <c r="B175" s="13"/>
      <c r="C175" s="13"/>
      <c r="D175" s="13"/>
      <c r="E175" s="17"/>
      <c r="F175" s="18"/>
      <c r="G175" s="19" t="str">
        <f aca="false">IF(OR(E175="",E175=0),"",F175/E175)</f>
        <v/>
      </c>
    </row>
    <row r="176" customFormat="false" ht="15" hidden="false" customHeight="false" outlineLevel="0" collapsed="false">
      <c r="A176" s="13"/>
      <c r="B176" s="13"/>
      <c r="C176" s="13"/>
      <c r="D176" s="13"/>
      <c r="E176" s="17"/>
      <c r="F176" s="18"/>
      <c r="G176" s="19" t="str">
        <f aca="false">IF(OR(E176="",E176=0),"",F176/E176)</f>
        <v/>
      </c>
    </row>
    <row r="177" customFormat="false" ht="15" hidden="false" customHeight="false" outlineLevel="0" collapsed="false">
      <c r="A177" s="13"/>
      <c r="B177" s="13"/>
      <c r="C177" s="13"/>
      <c r="D177" s="13"/>
      <c r="E177" s="17"/>
      <c r="F177" s="18"/>
      <c r="G177" s="19" t="str">
        <f aca="false">IF(OR(E177="",E177=0),"",F177/E177)</f>
        <v/>
      </c>
    </row>
    <row r="178" customFormat="false" ht="15" hidden="false" customHeight="false" outlineLevel="0" collapsed="false">
      <c r="A178" s="13"/>
      <c r="B178" s="13"/>
      <c r="C178" s="13"/>
      <c r="D178" s="13"/>
      <c r="E178" s="17"/>
      <c r="F178" s="18"/>
      <c r="G178" s="19" t="str">
        <f aca="false">IF(OR(E178="",E178=0),"",F178/E178)</f>
        <v/>
      </c>
    </row>
    <row r="179" customFormat="false" ht="15" hidden="false" customHeight="false" outlineLevel="0" collapsed="false">
      <c r="A179" s="13"/>
      <c r="B179" s="13"/>
      <c r="C179" s="13"/>
      <c r="D179" s="13"/>
      <c r="E179" s="17"/>
      <c r="F179" s="18"/>
      <c r="G179" s="19" t="str">
        <f aca="false">IF(OR(E179="",E179=0),"",F179/E179)</f>
        <v/>
      </c>
    </row>
    <row r="180" customFormat="false" ht="15" hidden="false" customHeight="false" outlineLevel="0" collapsed="false">
      <c r="A180" s="13"/>
      <c r="B180" s="13"/>
      <c r="C180" s="13"/>
      <c r="D180" s="13"/>
      <c r="E180" s="17"/>
      <c r="F180" s="18"/>
      <c r="G180" s="19" t="str">
        <f aca="false">IF(OR(E180="",E180=0),"",F180/E180)</f>
        <v/>
      </c>
    </row>
    <row r="181" customFormat="false" ht="15" hidden="false" customHeight="false" outlineLevel="0" collapsed="false">
      <c r="A181" s="13"/>
      <c r="B181" s="13"/>
      <c r="C181" s="13"/>
      <c r="D181" s="13"/>
      <c r="E181" s="17"/>
      <c r="F181" s="18"/>
      <c r="G181" s="19" t="str">
        <f aca="false">IF(OR(E181="",E181=0),"",F181/E181)</f>
        <v/>
      </c>
    </row>
    <row r="182" customFormat="false" ht="15" hidden="false" customHeight="false" outlineLevel="0" collapsed="false">
      <c r="A182" s="13"/>
      <c r="B182" s="13"/>
      <c r="C182" s="13"/>
      <c r="D182" s="13"/>
      <c r="E182" s="17"/>
      <c r="F182" s="18"/>
      <c r="G182" s="19" t="str">
        <f aca="false">IF(OR(E182="",E182=0),"",F182/E182)</f>
        <v/>
      </c>
    </row>
    <row r="183" customFormat="false" ht="15" hidden="false" customHeight="false" outlineLevel="0" collapsed="false">
      <c r="A183" s="13"/>
      <c r="B183" s="13"/>
      <c r="C183" s="13"/>
      <c r="D183" s="13"/>
      <c r="E183" s="17"/>
      <c r="F183" s="18"/>
      <c r="G183" s="19" t="str">
        <f aca="false">IF(OR(E183="",E183=0),"",F183/E183)</f>
        <v/>
      </c>
    </row>
    <row r="184" customFormat="false" ht="15" hidden="false" customHeight="false" outlineLevel="0" collapsed="false">
      <c r="A184" s="13"/>
      <c r="B184" s="13"/>
      <c r="C184" s="13"/>
      <c r="D184" s="13"/>
      <c r="E184" s="17"/>
      <c r="F184" s="18"/>
      <c r="G184" s="19" t="str">
        <f aca="false">IF(OR(E184="",E184=0),"",F184/E184)</f>
        <v/>
      </c>
    </row>
    <row r="185" customFormat="false" ht="15" hidden="false" customHeight="false" outlineLevel="0" collapsed="false">
      <c r="A185" s="13"/>
      <c r="B185" s="13"/>
      <c r="C185" s="13"/>
      <c r="D185" s="13"/>
      <c r="E185" s="17"/>
      <c r="F185" s="18"/>
      <c r="G185" s="19" t="str">
        <f aca="false">IF(OR(E185="",E185=0),"",F185/E185)</f>
        <v/>
      </c>
    </row>
    <row r="186" customFormat="false" ht="15" hidden="false" customHeight="false" outlineLevel="0" collapsed="false">
      <c r="A186" s="13"/>
      <c r="B186" s="13"/>
      <c r="C186" s="13"/>
      <c r="D186" s="13"/>
      <c r="E186" s="17"/>
      <c r="F186" s="18"/>
      <c r="G186" s="19" t="str">
        <f aca="false">IF(OR(E186="",E186=0),"",F186/E186)</f>
        <v/>
      </c>
    </row>
    <row r="187" customFormat="false" ht="15" hidden="false" customHeight="false" outlineLevel="0" collapsed="false">
      <c r="A187" s="13"/>
      <c r="B187" s="13"/>
      <c r="C187" s="13"/>
      <c r="D187" s="13"/>
      <c r="E187" s="17"/>
      <c r="F187" s="18"/>
      <c r="G187" s="19" t="str">
        <f aca="false">IF(OR(E187="",E187=0),"",F187/E187)</f>
        <v/>
      </c>
    </row>
    <row r="188" customFormat="false" ht="15" hidden="false" customHeight="false" outlineLevel="0" collapsed="false">
      <c r="A188" s="13"/>
      <c r="B188" s="13"/>
      <c r="C188" s="13"/>
      <c r="D188" s="13"/>
      <c r="E188" s="17"/>
      <c r="F188" s="18"/>
      <c r="G188" s="19" t="str">
        <f aca="false">IF(OR(E188="",E188=0),"",F188/E188)</f>
        <v/>
      </c>
    </row>
    <row r="189" customFormat="false" ht="15" hidden="false" customHeight="false" outlineLevel="0" collapsed="false">
      <c r="A189" s="13"/>
      <c r="B189" s="13"/>
      <c r="C189" s="13"/>
      <c r="D189" s="13"/>
      <c r="E189" s="17"/>
      <c r="F189" s="18"/>
      <c r="G189" s="19" t="str">
        <f aca="false">IF(OR(E189="",E189=0),"",F189/E189)</f>
        <v/>
      </c>
    </row>
    <row r="190" customFormat="false" ht="15" hidden="false" customHeight="false" outlineLevel="0" collapsed="false">
      <c r="A190" s="13"/>
      <c r="B190" s="13"/>
      <c r="C190" s="13"/>
      <c r="D190" s="13"/>
      <c r="E190" s="17"/>
      <c r="F190" s="18"/>
      <c r="G190" s="19" t="str">
        <f aca="false">IF(OR(E190="",E190=0),"",F190/E190)</f>
        <v/>
      </c>
    </row>
    <row r="191" customFormat="false" ht="15" hidden="false" customHeight="false" outlineLevel="0" collapsed="false">
      <c r="A191" s="13"/>
      <c r="B191" s="13"/>
      <c r="C191" s="13"/>
      <c r="D191" s="13"/>
      <c r="E191" s="17"/>
      <c r="F191" s="18"/>
      <c r="G191" s="19" t="str">
        <f aca="false">IF(OR(E191="",E191=0),"",F191/E191)</f>
        <v/>
      </c>
    </row>
    <row r="192" customFormat="false" ht="15" hidden="false" customHeight="false" outlineLevel="0" collapsed="false">
      <c r="A192" s="13"/>
      <c r="B192" s="13"/>
      <c r="C192" s="13"/>
      <c r="D192" s="13"/>
      <c r="E192" s="17"/>
      <c r="F192" s="18"/>
      <c r="G192" s="19" t="str">
        <f aca="false">IF(OR(E192="",E192=0),"",F192/E192)</f>
        <v/>
      </c>
    </row>
    <row r="193" customFormat="false" ht="15" hidden="false" customHeight="false" outlineLevel="0" collapsed="false">
      <c r="A193" s="13"/>
      <c r="B193" s="13"/>
      <c r="C193" s="13"/>
      <c r="D193" s="13"/>
      <c r="E193" s="17"/>
      <c r="F193" s="18"/>
      <c r="G193" s="19" t="str">
        <f aca="false">IF(OR(E193="",E193=0),"",F193/E193)</f>
        <v/>
      </c>
    </row>
    <row r="194" customFormat="false" ht="15" hidden="false" customHeight="false" outlineLevel="0" collapsed="false">
      <c r="A194" s="13"/>
      <c r="B194" s="13"/>
      <c r="C194" s="13"/>
      <c r="D194" s="13"/>
      <c r="E194" s="17"/>
      <c r="F194" s="18"/>
      <c r="G194" s="19" t="str">
        <f aca="false">IF(OR(E194="",E194=0),"",F194/E194)</f>
        <v/>
      </c>
    </row>
    <row r="195" customFormat="false" ht="15" hidden="false" customHeight="false" outlineLevel="0" collapsed="false">
      <c r="A195" s="13"/>
      <c r="B195" s="13"/>
      <c r="C195" s="13"/>
      <c r="D195" s="13"/>
      <c r="E195" s="17"/>
      <c r="F195" s="18"/>
      <c r="G195" s="19" t="str">
        <f aca="false">IF(OR(E195="",E195=0),"",F195/E195)</f>
        <v/>
      </c>
    </row>
    <row r="196" customFormat="false" ht="15" hidden="false" customHeight="false" outlineLevel="0" collapsed="false">
      <c r="A196" s="13"/>
      <c r="B196" s="13"/>
      <c r="C196" s="13"/>
      <c r="D196" s="13"/>
      <c r="E196" s="17"/>
      <c r="F196" s="18"/>
      <c r="G196" s="19" t="str">
        <f aca="false">IF(OR(E196="",E196=0),"",F196/E196)</f>
        <v/>
      </c>
    </row>
    <row r="197" customFormat="false" ht="15" hidden="false" customHeight="false" outlineLevel="0" collapsed="false">
      <c r="A197" s="13"/>
      <c r="B197" s="13"/>
      <c r="C197" s="13"/>
      <c r="D197" s="13"/>
      <c r="E197" s="17"/>
      <c r="F197" s="18"/>
      <c r="G197" s="19" t="str">
        <f aca="false">IF(OR(E197="",E197=0),"",F197/E197)</f>
        <v/>
      </c>
    </row>
    <row r="198" customFormat="false" ht="15" hidden="false" customHeight="false" outlineLevel="0" collapsed="false">
      <c r="A198" s="13"/>
      <c r="B198" s="13"/>
      <c r="C198" s="13"/>
      <c r="D198" s="13"/>
      <c r="E198" s="17"/>
      <c r="F198" s="18"/>
      <c r="G198" s="19" t="str">
        <f aca="false">IF(OR(E198="",E198=0),"",F198/E198)</f>
        <v/>
      </c>
    </row>
    <row r="199" customFormat="false" ht="15" hidden="false" customHeight="false" outlineLevel="0" collapsed="false">
      <c r="A199" s="13"/>
      <c r="B199" s="13"/>
      <c r="C199" s="13"/>
      <c r="D199" s="13"/>
      <c r="E199" s="17"/>
      <c r="F199" s="18"/>
      <c r="G199" s="19" t="str">
        <f aca="false">IF(OR(E199="",E199=0),"",F199/E199)</f>
        <v/>
      </c>
    </row>
    <row r="200" customFormat="false" ht="15" hidden="false" customHeight="false" outlineLevel="0" collapsed="false">
      <c r="A200" s="13"/>
      <c r="B200" s="13"/>
      <c r="C200" s="13"/>
      <c r="D200" s="13"/>
      <c r="E200" s="17"/>
      <c r="F200" s="18"/>
      <c r="G200" s="19" t="str">
        <f aca="false">IF(OR(E200="",E200=0),"",F200/E200)</f>
        <v/>
      </c>
    </row>
    <row r="201" customFormat="false" ht="15" hidden="false" customHeight="false" outlineLevel="0" collapsed="false">
      <c r="A201" s="13"/>
      <c r="B201" s="13"/>
      <c r="C201" s="13"/>
      <c r="D201" s="13"/>
      <c r="E201" s="17"/>
      <c r="F201" s="18"/>
      <c r="G201" s="19" t="str">
        <f aca="false">IF(OR(E201="",E201=0),"",F201/E201)</f>
        <v/>
      </c>
    </row>
    <row r="202" customFormat="false" ht="15" hidden="false" customHeight="false" outlineLevel="0" collapsed="false">
      <c r="A202" s="13"/>
      <c r="B202" s="13"/>
      <c r="C202" s="13"/>
      <c r="D202" s="13"/>
      <c r="E202" s="17"/>
      <c r="F202" s="18"/>
      <c r="G202" s="19" t="str">
        <f aca="false">IF(OR(E202="",E202=0),"",F202/E202)</f>
        <v/>
      </c>
    </row>
    <row r="203" customFormat="false" ht="15" hidden="false" customHeight="false" outlineLevel="0" collapsed="false">
      <c r="A203" s="13"/>
      <c r="B203" s="13"/>
      <c r="C203" s="13"/>
      <c r="D203" s="13"/>
      <c r="E203" s="17"/>
      <c r="F203" s="18"/>
      <c r="G203" s="19" t="str">
        <f aca="false">IF(OR(E203="",E203=0),"",F203/E203)</f>
        <v/>
      </c>
    </row>
    <row r="204" customFormat="false" ht="15" hidden="false" customHeight="false" outlineLevel="0" collapsed="false">
      <c r="A204" s="13"/>
      <c r="B204" s="13"/>
      <c r="C204" s="13"/>
      <c r="D204" s="13"/>
      <c r="E204" s="17"/>
      <c r="F204" s="18"/>
      <c r="G204" s="19" t="str">
        <f aca="false">IF(OR(E204="",E204=0),"",F204/E204)</f>
        <v/>
      </c>
    </row>
    <row r="205" customFormat="false" ht="15" hidden="false" customHeight="false" outlineLevel="0" collapsed="false">
      <c r="A205" s="13"/>
      <c r="B205" s="13"/>
      <c r="C205" s="13"/>
      <c r="D205" s="13"/>
      <c r="E205" s="17"/>
      <c r="F205" s="18"/>
      <c r="G205" s="19" t="str">
        <f aca="false">IF(OR(E205="",E205=0),"",F205/E205)</f>
        <v/>
      </c>
    </row>
    <row r="206" customFormat="false" ht="15" hidden="false" customHeight="false" outlineLevel="0" collapsed="false">
      <c r="A206" s="13"/>
      <c r="B206" s="13"/>
      <c r="C206" s="13"/>
      <c r="D206" s="13"/>
      <c r="E206" s="17"/>
      <c r="F206" s="18"/>
      <c r="G206" s="19" t="str">
        <f aca="false">IF(OR(E206="",E206=0),"",F206/E206)</f>
        <v/>
      </c>
    </row>
    <row r="207" customFormat="false" ht="15" hidden="false" customHeight="false" outlineLevel="0" collapsed="false">
      <c r="A207" s="13"/>
      <c r="B207" s="13"/>
      <c r="C207" s="13"/>
      <c r="D207" s="13"/>
      <c r="E207" s="17"/>
      <c r="F207" s="18"/>
      <c r="G207" s="19" t="str">
        <f aca="false">IF(OR(E207="",E207=0),"",F207/E207)</f>
        <v/>
      </c>
    </row>
    <row r="208" customFormat="false" ht="15" hidden="false" customHeight="false" outlineLevel="0" collapsed="false">
      <c r="A208" s="13"/>
      <c r="B208" s="13"/>
      <c r="C208" s="13"/>
      <c r="D208" s="13"/>
      <c r="E208" s="17"/>
      <c r="F208" s="18"/>
      <c r="G208" s="19" t="str">
        <f aca="false">IF(OR(E208="",E208=0),"",F208/E208)</f>
        <v/>
      </c>
    </row>
    <row r="209" customFormat="false" ht="15" hidden="false" customHeight="false" outlineLevel="0" collapsed="false">
      <c r="A209" s="13"/>
      <c r="B209" s="13"/>
      <c r="C209" s="13"/>
      <c r="D209" s="13"/>
      <c r="E209" s="17"/>
      <c r="F209" s="18"/>
      <c r="G209" s="19" t="str">
        <f aca="false">IF(OR(E209="",E209=0),"",F209/E209)</f>
        <v/>
      </c>
    </row>
    <row r="210" customFormat="false" ht="15" hidden="false" customHeight="false" outlineLevel="0" collapsed="false">
      <c r="A210" s="13"/>
      <c r="B210" s="13"/>
      <c r="C210" s="13"/>
      <c r="D210" s="13"/>
      <c r="E210" s="17"/>
      <c r="F210" s="18"/>
      <c r="G210" s="19" t="str">
        <f aca="false">IF(OR(E210="",E210=0),"",F210/E210)</f>
        <v/>
      </c>
    </row>
    <row r="211" customFormat="false" ht="15" hidden="false" customHeight="false" outlineLevel="0" collapsed="false">
      <c r="A211" s="13"/>
      <c r="B211" s="13"/>
      <c r="C211" s="13"/>
      <c r="D211" s="13"/>
      <c r="E211" s="17"/>
      <c r="F211" s="18"/>
      <c r="G211" s="19" t="str">
        <f aca="false">IF(OR(E211="",E211=0),"",F211/E211)</f>
        <v/>
      </c>
    </row>
    <row r="212" customFormat="false" ht="15" hidden="false" customHeight="false" outlineLevel="0" collapsed="false">
      <c r="A212" s="13"/>
      <c r="B212" s="13"/>
      <c r="C212" s="13"/>
      <c r="D212" s="13"/>
      <c r="E212" s="17"/>
      <c r="F212" s="18"/>
      <c r="G212" s="19" t="str">
        <f aca="false">IF(OR(E212="",E212=0),"",F212/E212)</f>
        <v/>
      </c>
    </row>
    <row r="213" customFormat="false" ht="15" hidden="false" customHeight="false" outlineLevel="0" collapsed="false">
      <c r="A213" s="13"/>
      <c r="B213" s="13"/>
      <c r="C213" s="13"/>
      <c r="D213" s="13"/>
      <c r="E213" s="17"/>
      <c r="F213" s="18"/>
      <c r="G213" s="19" t="str">
        <f aca="false">IF(OR(E213="",E213=0),"",F213/E213)</f>
        <v/>
      </c>
    </row>
    <row r="214" customFormat="false" ht="15" hidden="false" customHeight="false" outlineLevel="0" collapsed="false">
      <c r="A214" s="13"/>
      <c r="B214" s="13"/>
      <c r="C214" s="13"/>
      <c r="D214" s="13"/>
      <c r="E214" s="17"/>
      <c r="F214" s="18"/>
      <c r="G214" s="19" t="str">
        <f aca="false">IF(OR(E214="",E214=0),"",F214/E214)</f>
        <v/>
      </c>
    </row>
    <row r="215" customFormat="false" ht="15" hidden="false" customHeight="false" outlineLevel="0" collapsed="false">
      <c r="A215" s="13"/>
      <c r="B215" s="13"/>
      <c r="C215" s="13"/>
      <c r="D215" s="13"/>
      <c r="E215" s="17"/>
      <c r="F215" s="18"/>
      <c r="G215" s="19" t="str">
        <f aca="false">IF(OR(E215="",E215=0),"",F215/E215)</f>
        <v/>
      </c>
    </row>
    <row r="216" customFormat="false" ht="15" hidden="false" customHeight="false" outlineLevel="0" collapsed="false">
      <c r="A216" s="13"/>
      <c r="B216" s="13"/>
      <c r="C216" s="13"/>
      <c r="D216" s="13"/>
      <c r="E216" s="17"/>
      <c r="F216" s="18"/>
      <c r="G216" s="19" t="str">
        <f aca="false">IF(OR(E216="",E216=0),"",F216/E216)</f>
        <v/>
      </c>
    </row>
    <row r="217" customFormat="false" ht="15" hidden="false" customHeight="false" outlineLevel="0" collapsed="false">
      <c r="A217" s="13"/>
      <c r="B217" s="13"/>
      <c r="C217" s="13"/>
      <c r="D217" s="13"/>
      <c r="E217" s="17"/>
      <c r="F217" s="18"/>
      <c r="G217" s="19" t="str">
        <f aca="false">IF(OR(E217="",E217=0),"",F217/E217)</f>
        <v/>
      </c>
    </row>
    <row r="218" customFormat="false" ht="15" hidden="false" customHeight="false" outlineLevel="0" collapsed="false">
      <c r="A218" s="13"/>
      <c r="B218" s="13"/>
      <c r="C218" s="13"/>
      <c r="D218" s="13"/>
      <c r="E218" s="17"/>
      <c r="F218" s="18"/>
      <c r="G218" s="19" t="str">
        <f aca="false">IF(OR(E218="",E218=0),"",F218/E218)</f>
        <v/>
      </c>
    </row>
    <row r="219" customFormat="false" ht="15" hidden="false" customHeight="false" outlineLevel="0" collapsed="false">
      <c r="A219" s="13"/>
      <c r="B219" s="13"/>
      <c r="C219" s="13"/>
      <c r="D219" s="13"/>
      <c r="E219" s="17"/>
      <c r="F219" s="18"/>
      <c r="G219" s="19" t="str">
        <f aca="false">IF(OR(E219="",E219=0),"",F219/E219)</f>
        <v/>
      </c>
    </row>
    <row r="220" customFormat="false" ht="15" hidden="false" customHeight="false" outlineLevel="0" collapsed="false">
      <c r="A220" s="13"/>
      <c r="B220" s="13"/>
      <c r="C220" s="13"/>
      <c r="D220" s="13"/>
      <c r="E220" s="17"/>
      <c r="F220" s="18"/>
      <c r="G220" s="19" t="str">
        <f aca="false">IF(OR(E220="",E220=0),"",F220/E220)</f>
        <v/>
      </c>
    </row>
    <row r="221" customFormat="false" ht="15" hidden="false" customHeight="false" outlineLevel="0" collapsed="false">
      <c r="A221" s="13"/>
      <c r="B221" s="13"/>
      <c r="C221" s="13"/>
      <c r="D221" s="13"/>
      <c r="E221" s="17"/>
      <c r="F221" s="18"/>
      <c r="G221" s="19" t="str">
        <f aca="false">IF(OR(E221="",E221=0),"",F221/E221)</f>
        <v/>
      </c>
    </row>
    <row r="222" customFormat="false" ht="15" hidden="false" customHeight="false" outlineLevel="0" collapsed="false">
      <c r="A222" s="13"/>
      <c r="B222" s="13"/>
      <c r="C222" s="13"/>
      <c r="D222" s="13"/>
      <c r="E222" s="17"/>
      <c r="F222" s="18"/>
      <c r="G222" s="19" t="str">
        <f aca="false">IF(OR(E222="",E222=0),"",F222/E222)</f>
        <v/>
      </c>
    </row>
    <row r="223" customFormat="false" ht="15" hidden="false" customHeight="false" outlineLevel="0" collapsed="false">
      <c r="A223" s="13"/>
      <c r="B223" s="13"/>
      <c r="C223" s="13"/>
      <c r="D223" s="13"/>
      <c r="E223" s="17"/>
      <c r="F223" s="18"/>
      <c r="G223" s="19" t="str">
        <f aca="false">IF(OR(E223="",E223=0),"",F223/E223)</f>
        <v/>
      </c>
    </row>
    <row r="224" customFormat="false" ht="15" hidden="false" customHeight="false" outlineLevel="0" collapsed="false">
      <c r="A224" s="13"/>
      <c r="B224" s="13"/>
      <c r="C224" s="13"/>
      <c r="D224" s="13"/>
      <c r="E224" s="17"/>
      <c r="F224" s="18"/>
      <c r="G224" s="19" t="str">
        <f aca="false">IF(OR(E224="",E224=0),"",F224/E224)</f>
        <v/>
      </c>
    </row>
    <row r="225" customFormat="false" ht="15" hidden="false" customHeight="false" outlineLevel="0" collapsed="false">
      <c r="A225" s="13"/>
      <c r="B225" s="13"/>
      <c r="C225" s="13"/>
      <c r="D225" s="13"/>
      <c r="E225" s="17"/>
      <c r="F225" s="18"/>
      <c r="G225" s="19" t="str">
        <f aca="false">IF(OR(E225="",E225=0),"",F225/E225)</f>
        <v/>
      </c>
    </row>
    <row r="226" customFormat="false" ht="15" hidden="false" customHeight="false" outlineLevel="0" collapsed="false">
      <c r="A226" s="13"/>
      <c r="B226" s="13"/>
      <c r="C226" s="13"/>
      <c r="D226" s="13"/>
      <c r="E226" s="17"/>
      <c r="F226" s="18"/>
      <c r="G226" s="19" t="str">
        <f aca="false">IF(OR(E226="",E226=0),"",F226/E226)</f>
        <v/>
      </c>
    </row>
    <row r="227" customFormat="false" ht="15" hidden="false" customHeight="false" outlineLevel="0" collapsed="false">
      <c r="A227" s="13"/>
      <c r="B227" s="13"/>
      <c r="C227" s="13"/>
      <c r="D227" s="13"/>
      <c r="E227" s="17"/>
      <c r="F227" s="18"/>
      <c r="G227" s="19" t="str">
        <f aca="false">IF(OR(E227="",E227=0),"",F227/E227)</f>
        <v/>
      </c>
    </row>
    <row r="228" customFormat="false" ht="15" hidden="false" customHeight="false" outlineLevel="0" collapsed="false">
      <c r="A228" s="13"/>
      <c r="B228" s="13"/>
      <c r="C228" s="13"/>
      <c r="D228" s="13"/>
      <c r="E228" s="17"/>
      <c r="F228" s="18"/>
      <c r="G228" s="19" t="str">
        <f aca="false">IF(OR(E228="",E228=0),"",F228/E228)</f>
        <v/>
      </c>
    </row>
    <row r="229" customFormat="false" ht="15" hidden="false" customHeight="false" outlineLevel="0" collapsed="false">
      <c r="A229" s="13"/>
      <c r="B229" s="13"/>
      <c r="C229" s="13"/>
      <c r="D229" s="13"/>
      <c r="E229" s="17"/>
      <c r="F229" s="18"/>
      <c r="G229" s="19" t="str">
        <f aca="false">IF(OR(E229="",E229=0),"",F229/E229)</f>
        <v/>
      </c>
    </row>
    <row r="230" customFormat="false" ht="15" hidden="false" customHeight="false" outlineLevel="0" collapsed="false">
      <c r="A230" s="13"/>
      <c r="B230" s="13"/>
      <c r="C230" s="13"/>
      <c r="D230" s="13"/>
      <c r="E230" s="17"/>
      <c r="F230" s="18"/>
      <c r="G230" s="19" t="str">
        <f aca="false">IF(OR(E230="",E230=0),"",F230/E230)</f>
        <v/>
      </c>
    </row>
    <row r="231" customFormat="false" ht="15" hidden="false" customHeight="false" outlineLevel="0" collapsed="false">
      <c r="A231" s="13"/>
      <c r="B231" s="13"/>
      <c r="C231" s="13"/>
      <c r="D231" s="13"/>
      <c r="E231" s="17"/>
      <c r="F231" s="18"/>
      <c r="G231" s="19" t="str">
        <f aca="false">IF(OR(E231="",E231=0),"",F231/E231)</f>
        <v/>
      </c>
    </row>
    <row r="232" customFormat="false" ht="15" hidden="false" customHeight="false" outlineLevel="0" collapsed="false">
      <c r="A232" s="13"/>
      <c r="B232" s="13"/>
      <c r="C232" s="13"/>
      <c r="D232" s="13"/>
      <c r="E232" s="17"/>
      <c r="F232" s="18"/>
      <c r="G232" s="19" t="str">
        <f aca="false">IF(OR(E232="",E232=0),"",F232/E232)</f>
        <v/>
      </c>
    </row>
    <row r="233" customFormat="false" ht="15" hidden="false" customHeight="false" outlineLevel="0" collapsed="false">
      <c r="A233" s="13"/>
      <c r="B233" s="13"/>
      <c r="C233" s="13"/>
      <c r="D233" s="13"/>
      <c r="E233" s="17"/>
      <c r="F233" s="18"/>
      <c r="G233" s="19" t="str">
        <f aca="false">IF(OR(E233="",E233=0),"",F233/E233)</f>
        <v/>
      </c>
    </row>
    <row r="234" customFormat="false" ht="15" hidden="false" customHeight="false" outlineLevel="0" collapsed="false">
      <c r="A234" s="13"/>
      <c r="B234" s="13"/>
      <c r="C234" s="13"/>
      <c r="D234" s="13"/>
      <c r="E234" s="17"/>
      <c r="F234" s="18"/>
      <c r="G234" s="19" t="str">
        <f aca="false">IF(OR(E234="",E234=0),"",F234/E234)</f>
        <v/>
      </c>
    </row>
    <row r="235" customFormat="false" ht="15" hidden="false" customHeight="false" outlineLevel="0" collapsed="false">
      <c r="A235" s="13"/>
      <c r="B235" s="13"/>
      <c r="C235" s="13"/>
      <c r="D235" s="13"/>
      <c r="E235" s="17"/>
      <c r="F235" s="18"/>
      <c r="G235" s="19" t="str">
        <f aca="false">IF(OR(E235="",E235=0),"",F235/E235)</f>
        <v/>
      </c>
    </row>
    <row r="236" customFormat="false" ht="15" hidden="false" customHeight="false" outlineLevel="0" collapsed="false">
      <c r="A236" s="13"/>
      <c r="B236" s="13"/>
      <c r="C236" s="13"/>
      <c r="D236" s="13"/>
      <c r="E236" s="17"/>
      <c r="F236" s="18"/>
      <c r="G236" s="19" t="str">
        <f aca="false">IF(OR(E236="",E236=0),"",F236/E236)</f>
        <v/>
      </c>
    </row>
    <row r="237" customFormat="false" ht="15" hidden="false" customHeight="false" outlineLevel="0" collapsed="false">
      <c r="A237" s="13"/>
      <c r="B237" s="13"/>
      <c r="C237" s="13"/>
      <c r="D237" s="13"/>
      <c r="E237" s="17"/>
      <c r="F237" s="18"/>
      <c r="G237" s="19" t="str">
        <f aca="false">IF(OR(E237="",E237=0),"",F237/E237)</f>
        <v/>
      </c>
    </row>
    <row r="238" customFormat="false" ht="15" hidden="false" customHeight="false" outlineLevel="0" collapsed="false">
      <c r="A238" s="13"/>
      <c r="B238" s="13"/>
      <c r="C238" s="13"/>
      <c r="D238" s="13"/>
      <c r="E238" s="17"/>
      <c r="F238" s="18"/>
      <c r="G238" s="19" t="str">
        <f aca="false">IF(OR(E238="",E238=0),"",F238/E238)</f>
        <v/>
      </c>
    </row>
    <row r="239" customFormat="false" ht="15" hidden="false" customHeight="false" outlineLevel="0" collapsed="false">
      <c r="A239" s="13"/>
      <c r="B239" s="13"/>
      <c r="C239" s="13"/>
      <c r="D239" s="13"/>
      <c r="E239" s="17"/>
      <c r="F239" s="18"/>
      <c r="G239" s="19" t="str">
        <f aca="false">IF(OR(E239="",E239=0),"",F239/E239)</f>
        <v/>
      </c>
    </row>
    <row r="240" customFormat="false" ht="15" hidden="false" customHeight="false" outlineLevel="0" collapsed="false">
      <c r="A240" s="13"/>
      <c r="B240" s="13"/>
      <c r="C240" s="13"/>
      <c r="D240" s="13"/>
      <c r="E240" s="17"/>
      <c r="F240" s="18"/>
      <c r="G240" s="19" t="str">
        <f aca="false">IF(OR(E240="",E240=0),"",F240/E240)</f>
        <v/>
      </c>
    </row>
    <row r="241" customFormat="false" ht="15" hidden="false" customHeight="false" outlineLevel="0" collapsed="false">
      <c r="A241" s="13"/>
      <c r="B241" s="13"/>
      <c r="C241" s="13"/>
      <c r="D241" s="13"/>
      <c r="E241" s="17"/>
      <c r="F241" s="18"/>
      <c r="G241" s="19" t="str">
        <f aca="false">IF(OR(E241="",E241=0),"",F241/E241)</f>
        <v/>
      </c>
    </row>
    <row r="242" customFormat="false" ht="15" hidden="false" customHeight="false" outlineLevel="0" collapsed="false">
      <c r="A242" s="13"/>
      <c r="B242" s="13"/>
      <c r="C242" s="13"/>
      <c r="D242" s="13"/>
      <c r="E242" s="17"/>
      <c r="F242" s="18"/>
      <c r="G242" s="19" t="str">
        <f aca="false">IF(OR(E242="",E242=0),"",F242/E242)</f>
        <v/>
      </c>
    </row>
    <row r="243" customFormat="false" ht="15" hidden="false" customHeight="false" outlineLevel="0" collapsed="false">
      <c r="A243" s="13"/>
      <c r="B243" s="13"/>
      <c r="C243" s="13"/>
      <c r="D243" s="13"/>
      <c r="E243" s="17"/>
      <c r="F243" s="18"/>
      <c r="G243" s="19" t="str">
        <f aca="false">IF(OR(E243="",E243=0),"",F243/E243)</f>
        <v/>
      </c>
    </row>
    <row r="244" customFormat="false" ht="15" hidden="false" customHeight="false" outlineLevel="0" collapsed="false">
      <c r="A244" s="13"/>
      <c r="B244" s="13"/>
      <c r="C244" s="13"/>
      <c r="D244" s="13"/>
      <c r="E244" s="17"/>
      <c r="F244" s="18"/>
      <c r="G244" s="19" t="str">
        <f aca="false">IF(OR(E244="",E244=0),"",F244/E244)</f>
        <v/>
      </c>
    </row>
    <row r="245" customFormat="false" ht="15" hidden="false" customHeight="false" outlineLevel="0" collapsed="false">
      <c r="A245" s="13"/>
      <c r="B245" s="13"/>
      <c r="C245" s="13"/>
      <c r="D245" s="13"/>
      <c r="E245" s="17"/>
      <c r="F245" s="18"/>
      <c r="G245" s="19" t="str">
        <f aca="false">IF(OR(E245="",E245=0),"",F245/E245)</f>
        <v/>
      </c>
    </row>
    <row r="246" customFormat="false" ht="15" hidden="false" customHeight="false" outlineLevel="0" collapsed="false">
      <c r="A246" s="13"/>
      <c r="B246" s="13"/>
      <c r="C246" s="13"/>
      <c r="D246" s="13"/>
      <c r="E246" s="17"/>
      <c r="F246" s="18"/>
      <c r="G246" s="19" t="str">
        <f aca="false">IF(OR(E246="",E246=0),"",F246/E246)</f>
        <v/>
      </c>
    </row>
    <row r="247" customFormat="false" ht="15" hidden="false" customHeight="false" outlineLevel="0" collapsed="false">
      <c r="A247" s="13"/>
      <c r="B247" s="13"/>
      <c r="C247" s="13"/>
      <c r="D247" s="13"/>
      <c r="E247" s="17"/>
      <c r="F247" s="18"/>
      <c r="G247" s="19" t="str">
        <f aca="false">IF(OR(E247="",E247=0),"",F247/E247)</f>
        <v/>
      </c>
    </row>
    <row r="248" customFormat="false" ht="15" hidden="false" customHeight="false" outlineLevel="0" collapsed="false">
      <c r="A248" s="13"/>
      <c r="B248" s="13"/>
      <c r="C248" s="13"/>
      <c r="D248" s="13"/>
      <c r="E248" s="17"/>
      <c r="F248" s="18"/>
      <c r="G248" s="19" t="str">
        <f aca="false">IF(OR(E248="",E248=0),"",F248/E248)</f>
        <v/>
      </c>
    </row>
    <row r="249" customFormat="false" ht="15" hidden="false" customHeight="false" outlineLevel="0" collapsed="false">
      <c r="A249" s="13"/>
      <c r="B249" s="13"/>
      <c r="C249" s="13"/>
      <c r="D249" s="13"/>
      <c r="E249" s="17"/>
      <c r="F249" s="18"/>
      <c r="G249" s="19" t="str">
        <f aca="false">IF(OR(E249="",E249=0),"",F249/E249)</f>
        <v/>
      </c>
    </row>
    <row r="250" customFormat="false" ht="15" hidden="false" customHeight="false" outlineLevel="0" collapsed="false">
      <c r="A250" s="13"/>
      <c r="B250" s="13"/>
      <c r="C250" s="13"/>
      <c r="D250" s="13"/>
      <c r="E250" s="17"/>
      <c r="F250" s="18"/>
      <c r="G250" s="19" t="str">
        <f aca="false">IF(OR(E250="",E250=0),"",F250/E250)</f>
        <v/>
      </c>
    </row>
    <row r="251" customFormat="false" ht="15" hidden="false" customHeight="false" outlineLevel="0" collapsed="false">
      <c r="A251" s="13"/>
      <c r="B251" s="13"/>
      <c r="C251" s="13"/>
      <c r="D251" s="13"/>
      <c r="E251" s="17"/>
      <c r="F251" s="18"/>
      <c r="G251" s="19" t="str">
        <f aca="false">IF(OR(E251="",E251=0),"",F251/E251)</f>
        <v/>
      </c>
    </row>
    <row r="252" customFormat="false" ht="15" hidden="false" customHeight="false" outlineLevel="0" collapsed="false">
      <c r="A252" s="13"/>
      <c r="B252" s="13"/>
      <c r="C252" s="13"/>
      <c r="D252" s="13"/>
      <c r="E252" s="17"/>
      <c r="F252" s="18"/>
      <c r="G252" s="19" t="str">
        <f aca="false">IF(OR(E252="",E252=0),"",F252/E252)</f>
        <v/>
      </c>
    </row>
    <row r="253" customFormat="false" ht="15" hidden="false" customHeight="false" outlineLevel="0" collapsed="false">
      <c r="A253" s="13"/>
      <c r="B253" s="13"/>
      <c r="C253" s="13"/>
      <c r="D253" s="13"/>
      <c r="E253" s="17"/>
      <c r="F253" s="18"/>
      <c r="G253" s="19" t="str">
        <f aca="false">IF(OR(E253="",E253=0),"",F253/E253)</f>
        <v/>
      </c>
    </row>
    <row r="254" customFormat="false" ht="15" hidden="false" customHeight="false" outlineLevel="0" collapsed="false">
      <c r="A254" s="13"/>
      <c r="B254" s="13"/>
      <c r="C254" s="13"/>
      <c r="D254" s="13"/>
      <c r="E254" s="17"/>
      <c r="F254" s="18"/>
      <c r="G254" s="19" t="str">
        <f aca="false">IF(OR(E254="",E254=0),"",F254/E254)</f>
        <v/>
      </c>
    </row>
    <row r="255" customFormat="false" ht="15" hidden="false" customHeight="false" outlineLevel="0" collapsed="false">
      <c r="A255" s="13"/>
      <c r="B255" s="13"/>
      <c r="C255" s="13"/>
      <c r="D255" s="13"/>
      <c r="E255" s="17"/>
      <c r="F255" s="18"/>
      <c r="G255" s="19" t="str">
        <f aca="false">IF(OR(E255="",E255=0),"",F255/E255)</f>
        <v/>
      </c>
    </row>
    <row r="256" customFormat="false" ht="15" hidden="false" customHeight="false" outlineLevel="0" collapsed="false">
      <c r="A256" s="13"/>
      <c r="B256" s="13"/>
      <c r="C256" s="13"/>
      <c r="D256" s="13"/>
      <c r="E256" s="17"/>
      <c r="F256" s="18"/>
      <c r="G256" s="19" t="str">
        <f aca="false">IF(OR(E256="",E256=0),"",F256/E256)</f>
        <v/>
      </c>
    </row>
    <row r="257" customFormat="false" ht="15" hidden="false" customHeight="false" outlineLevel="0" collapsed="false">
      <c r="A257" s="13"/>
      <c r="B257" s="13"/>
      <c r="C257" s="13"/>
      <c r="D257" s="13"/>
      <c r="E257" s="17"/>
      <c r="F257" s="18"/>
      <c r="G257" s="19" t="str">
        <f aca="false">IF(OR(E257="",E257=0),"",F257/E257)</f>
        <v/>
      </c>
    </row>
    <row r="258" customFormat="false" ht="15" hidden="false" customHeight="false" outlineLevel="0" collapsed="false">
      <c r="A258" s="13"/>
      <c r="B258" s="13"/>
      <c r="C258" s="13"/>
      <c r="D258" s="13"/>
      <c r="E258" s="17"/>
      <c r="F258" s="18"/>
      <c r="G258" s="19" t="str">
        <f aca="false">IF(OR(E258="",E258=0),"",F258/E258)</f>
        <v/>
      </c>
    </row>
    <row r="259" customFormat="false" ht="15" hidden="false" customHeight="false" outlineLevel="0" collapsed="false">
      <c r="A259" s="13"/>
      <c r="B259" s="13"/>
      <c r="C259" s="13"/>
      <c r="D259" s="13"/>
      <c r="E259" s="17"/>
      <c r="F259" s="18"/>
      <c r="G259" s="19" t="str">
        <f aca="false">IF(OR(E259="",E259=0),"",F259/E259)</f>
        <v/>
      </c>
    </row>
    <row r="260" customFormat="false" ht="15" hidden="false" customHeight="false" outlineLevel="0" collapsed="false">
      <c r="A260" s="13"/>
      <c r="B260" s="13"/>
      <c r="C260" s="13"/>
      <c r="D260" s="13"/>
      <c r="E260" s="17"/>
      <c r="F260" s="18"/>
      <c r="G260" s="19" t="str">
        <f aca="false">IF(OR(E260="",E260=0),"",F260/E260)</f>
        <v/>
      </c>
    </row>
    <row r="261" customFormat="false" ht="15" hidden="false" customHeight="false" outlineLevel="0" collapsed="false">
      <c r="A261" s="13"/>
      <c r="B261" s="13"/>
      <c r="C261" s="13"/>
      <c r="D261" s="13"/>
      <c r="E261" s="17"/>
      <c r="F261" s="18"/>
      <c r="G261" s="19" t="str">
        <f aca="false">IF(OR(E261="",E261=0),"",F261/E261)</f>
        <v/>
      </c>
    </row>
    <row r="262" customFormat="false" ht="15" hidden="false" customHeight="false" outlineLevel="0" collapsed="false">
      <c r="A262" s="13"/>
      <c r="B262" s="13"/>
      <c r="C262" s="13"/>
      <c r="D262" s="13"/>
      <c r="E262" s="17"/>
      <c r="F262" s="18"/>
      <c r="G262" s="19" t="str">
        <f aca="false">IF(OR(E262="",E262=0),"",F262/E262)</f>
        <v/>
      </c>
    </row>
    <row r="263" customFormat="false" ht="15" hidden="false" customHeight="false" outlineLevel="0" collapsed="false">
      <c r="A263" s="13"/>
      <c r="B263" s="13"/>
      <c r="C263" s="13"/>
      <c r="D263" s="13"/>
      <c r="E263" s="17"/>
      <c r="F263" s="18"/>
      <c r="G263" s="19" t="str">
        <f aca="false">IF(OR(E263="",E263=0),"",F263/E263)</f>
        <v/>
      </c>
    </row>
    <row r="264" customFormat="false" ht="15" hidden="false" customHeight="false" outlineLevel="0" collapsed="false">
      <c r="A264" s="13"/>
      <c r="B264" s="13"/>
      <c r="C264" s="13"/>
      <c r="D264" s="13"/>
      <c r="E264" s="17"/>
      <c r="F264" s="18"/>
      <c r="G264" s="19" t="str">
        <f aca="false">IF(OR(E264="",E264=0),"",F264/E264)</f>
        <v/>
      </c>
    </row>
    <row r="265" customFormat="false" ht="15" hidden="false" customHeight="false" outlineLevel="0" collapsed="false">
      <c r="A265" s="13"/>
      <c r="B265" s="13"/>
      <c r="C265" s="13"/>
      <c r="D265" s="13"/>
      <c r="E265" s="17"/>
      <c r="F265" s="18"/>
      <c r="G265" s="19" t="str">
        <f aca="false">IF(OR(E265="",E265=0),"",F265/E265)</f>
        <v/>
      </c>
    </row>
    <row r="266" customFormat="false" ht="15" hidden="false" customHeight="false" outlineLevel="0" collapsed="false">
      <c r="A266" s="13"/>
      <c r="B266" s="13"/>
      <c r="C266" s="13"/>
      <c r="D266" s="13"/>
      <c r="E266" s="17"/>
      <c r="F266" s="18"/>
      <c r="G266" s="19" t="str">
        <f aca="false">IF(OR(E266="",E266=0),"",F266/E266)</f>
        <v/>
      </c>
    </row>
    <row r="267" customFormat="false" ht="15" hidden="false" customHeight="false" outlineLevel="0" collapsed="false">
      <c r="A267" s="13"/>
      <c r="B267" s="13"/>
      <c r="C267" s="13"/>
      <c r="D267" s="13"/>
      <c r="E267" s="17"/>
      <c r="F267" s="18"/>
      <c r="G267" s="19" t="str">
        <f aca="false">IF(OR(E267="",E267=0),"",F267/E267)</f>
        <v/>
      </c>
    </row>
    <row r="268" customFormat="false" ht="15" hidden="false" customHeight="false" outlineLevel="0" collapsed="false">
      <c r="A268" s="13"/>
      <c r="B268" s="13"/>
      <c r="C268" s="13"/>
      <c r="D268" s="13"/>
      <c r="E268" s="17"/>
      <c r="F268" s="18"/>
      <c r="G268" s="19" t="str">
        <f aca="false">IF(OR(E268="",E268=0),"",F268/E268)</f>
        <v/>
      </c>
    </row>
    <row r="269" customFormat="false" ht="15" hidden="false" customHeight="false" outlineLevel="0" collapsed="false">
      <c r="A269" s="13"/>
      <c r="B269" s="13"/>
      <c r="C269" s="13"/>
      <c r="D269" s="13"/>
      <c r="E269" s="17"/>
      <c r="F269" s="18"/>
      <c r="G269" s="19" t="str">
        <f aca="false">IF(OR(E269="",E269=0),"",F269/E269)</f>
        <v/>
      </c>
    </row>
    <row r="270" customFormat="false" ht="15" hidden="false" customHeight="false" outlineLevel="0" collapsed="false">
      <c r="A270" s="13"/>
      <c r="B270" s="13"/>
      <c r="C270" s="13"/>
      <c r="D270" s="13"/>
      <c r="E270" s="17"/>
      <c r="F270" s="18"/>
      <c r="G270" s="19" t="str">
        <f aca="false">IF(OR(E270="",E270=0),"",F270/E270)</f>
        <v/>
      </c>
    </row>
    <row r="271" customFormat="false" ht="15" hidden="false" customHeight="false" outlineLevel="0" collapsed="false">
      <c r="A271" s="13"/>
      <c r="B271" s="13"/>
      <c r="C271" s="13"/>
      <c r="D271" s="13"/>
      <c r="E271" s="17"/>
      <c r="F271" s="18"/>
      <c r="G271" s="19" t="str">
        <f aca="false">IF(OR(E271="",E271=0),"",F271/E271)</f>
        <v/>
      </c>
    </row>
    <row r="272" customFormat="false" ht="15" hidden="false" customHeight="false" outlineLevel="0" collapsed="false">
      <c r="A272" s="13"/>
      <c r="B272" s="13"/>
      <c r="C272" s="13"/>
      <c r="D272" s="13"/>
      <c r="E272" s="17"/>
      <c r="F272" s="18"/>
      <c r="G272" s="19" t="str">
        <f aca="false">IF(OR(E272="",E272=0),"",F272/E272)</f>
        <v/>
      </c>
    </row>
    <row r="273" customFormat="false" ht="15" hidden="false" customHeight="false" outlineLevel="0" collapsed="false">
      <c r="A273" s="13"/>
      <c r="B273" s="13"/>
      <c r="C273" s="13"/>
      <c r="D273" s="13"/>
      <c r="E273" s="17"/>
      <c r="F273" s="18"/>
      <c r="G273" s="19" t="str">
        <f aca="false">IF(OR(E273="",E273=0),"",F273/E273)</f>
        <v/>
      </c>
    </row>
    <row r="274" customFormat="false" ht="15" hidden="false" customHeight="false" outlineLevel="0" collapsed="false">
      <c r="A274" s="13"/>
      <c r="B274" s="13"/>
      <c r="C274" s="13"/>
      <c r="D274" s="13"/>
      <c r="E274" s="17"/>
      <c r="F274" s="18"/>
      <c r="G274" s="19" t="str">
        <f aca="false">IF(OR(E274="",E274=0),"",F274/E274)</f>
        <v/>
      </c>
    </row>
    <row r="275" customFormat="false" ht="15" hidden="false" customHeight="false" outlineLevel="0" collapsed="false">
      <c r="A275" s="13"/>
      <c r="B275" s="13"/>
      <c r="C275" s="13"/>
      <c r="D275" s="13"/>
      <c r="E275" s="17"/>
      <c r="F275" s="18"/>
      <c r="G275" s="19" t="str">
        <f aca="false">IF(OR(E275="",E275=0),"",F275/E275)</f>
        <v/>
      </c>
    </row>
    <row r="276" customFormat="false" ht="15" hidden="false" customHeight="false" outlineLevel="0" collapsed="false">
      <c r="A276" s="13"/>
      <c r="B276" s="13"/>
      <c r="C276" s="13"/>
      <c r="D276" s="13"/>
      <c r="E276" s="17"/>
      <c r="F276" s="18"/>
      <c r="G276" s="19" t="str">
        <f aca="false">IF(OR(E276="",E276=0),"",F276/E276)</f>
        <v/>
      </c>
    </row>
    <row r="277" customFormat="false" ht="15" hidden="false" customHeight="false" outlineLevel="0" collapsed="false">
      <c r="A277" s="13"/>
      <c r="B277" s="13"/>
      <c r="C277" s="13"/>
      <c r="D277" s="13"/>
      <c r="E277" s="17"/>
      <c r="F277" s="18"/>
      <c r="G277" s="19" t="str">
        <f aca="false">IF(OR(E277="",E277=0),"",F277/E277)</f>
        <v/>
      </c>
    </row>
    <row r="278" customFormat="false" ht="15" hidden="false" customHeight="false" outlineLevel="0" collapsed="false">
      <c r="A278" s="13"/>
      <c r="B278" s="13"/>
      <c r="C278" s="13"/>
      <c r="D278" s="13"/>
      <c r="E278" s="17"/>
      <c r="F278" s="18"/>
      <c r="G278" s="19" t="str">
        <f aca="false">IF(OR(E278="",E278=0),"",F278/E278)</f>
        <v/>
      </c>
    </row>
    <row r="279" customFormat="false" ht="15" hidden="false" customHeight="false" outlineLevel="0" collapsed="false">
      <c r="A279" s="13"/>
      <c r="B279" s="13"/>
      <c r="C279" s="13"/>
      <c r="D279" s="13"/>
      <c r="E279" s="17"/>
      <c r="F279" s="18"/>
      <c r="G279" s="19" t="str">
        <f aca="false">IF(OR(E279="",E279=0),"",F279/E279)</f>
        <v/>
      </c>
    </row>
    <row r="280" customFormat="false" ht="15" hidden="false" customHeight="false" outlineLevel="0" collapsed="false">
      <c r="A280" s="13"/>
      <c r="B280" s="13"/>
      <c r="C280" s="13"/>
      <c r="D280" s="13"/>
      <c r="E280" s="17"/>
      <c r="F280" s="18"/>
      <c r="G280" s="19" t="str">
        <f aca="false">IF(OR(E280="",E280=0),"",F280/E280)</f>
        <v/>
      </c>
    </row>
    <row r="281" customFormat="false" ht="15" hidden="false" customHeight="false" outlineLevel="0" collapsed="false">
      <c r="A281" s="13"/>
      <c r="B281" s="13"/>
      <c r="C281" s="13"/>
      <c r="D281" s="13"/>
      <c r="E281" s="17"/>
      <c r="F281" s="18"/>
      <c r="G281" s="19" t="str">
        <f aca="false">IF(OR(E281="",E281=0),"",F281/E281)</f>
        <v/>
      </c>
    </row>
    <row r="282" customFormat="false" ht="15" hidden="false" customHeight="false" outlineLevel="0" collapsed="false">
      <c r="A282" s="13"/>
      <c r="B282" s="13"/>
      <c r="C282" s="13"/>
      <c r="D282" s="13"/>
      <c r="E282" s="17"/>
      <c r="F282" s="18"/>
      <c r="G282" s="19" t="str">
        <f aca="false">IF(OR(E282="",E282=0),"",F282/E282)</f>
        <v/>
      </c>
    </row>
    <row r="283" customFormat="false" ht="15" hidden="false" customHeight="false" outlineLevel="0" collapsed="false">
      <c r="A283" s="13"/>
      <c r="B283" s="13"/>
      <c r="C283" s="13"/>
      <c r="D283" s="13"/>
      <c r="E283" s="17"/>
      <c r="F283" s="18"/>
      <c r="G283" s="19" t="str">
        <f aca="false">IF(OR(E283="",E283=0),"",F283/E283)</f>
        <v/>
      </c>
    </row>
    <row r="284" customFormat="false" ht="15" hidden="false" customHeight="false" outlineLevel="0" collapsed="false">
      <c r="A284" s="13"/>
      <c r="B284" s="13"/>
      <c r="C284" s="13"/>
      <c r="D284" s="13"/>
      <c r="E284" s="17"/>
      <c r="F284" s="18"/>
      <c r="G284" s="19" t="str">
        <f aca="false">IF(OR(E284="",E284=0),"",F284/E284)</f>
        <v/>
      </c>
    </row>
    <row r="285" customFormat="false" ht="15" hidden="false" customHeight="false" outlineLevel="0" collapsed="false">
      <c r="A285" s="13"/>
      <c r="B285" s="13"/>
      <c r="C285" s="13"/>
      <c r="D285" s="13"/>
      <c r="E285" s="17"/>
      <c r="F285" s="18"/>
      <c r="G285" s="19" t="str">
        <f aca="false">IF(OR(E285="",E285=0),"",F285/E285)</f>
        <v/>
      </c>
    </row>
    <row r="286" customFormat="false" ht="15" hidden="false" customHeight="false" outlineLevel="0" collapsed="false">
      <c r="A286" s="13"/>
      <c r="B286" s="13"/>
      <c r="C286" s="13"/>
      <c r="D286" s="13"/>
      <c r="E286" s="17"/>
      <c r="F286" s="18"/>
      <c r="G286" s="19" t="str">
        <f aca="false">IF(OR(E286="",E286=0),"",F286/E286)</f>
        <v/>
      </c>
    </row>
    <row r="287" customFormat="false" ht="15" hidden="false" customHeight="false" outlineLevel="0" collapsed="false">
      <c r="A287" s="13"/>
      <c r="B287" s="13"/>
      <c r="C287" s="13"/>
      <c r="D287" s="13"/>
      <c r="E287" s="17"/>
      <c r="F287" s="18"/>
      <c r="G287" s="19" t="str">
        <f aca="false">IF(OR(E287="",E287=0),"",F287/E287)</f>
        <v/>
      </c>
    </row>
    <row r="288" customFormat="false" ht="15" hidden="false" customHeight="false" outlineLevel="0" collapsed="false">
      <c r="A288" s="13"/>
      <c r="B288" s="13"/>
      <c r="C288" s="13"/>
      <c r="D288" s="13"/>
      <c r="E288" s="17"/>
      <c r="F288" s="18"/>
      <c r="G288" s="19" t="str">
        <f aca="false">IF(OR(E288="",E288=0),"",F288/E288)</f>
        <v/>
      </c>
    </row>
    <row r="289" customFormat="false" ht="15" hidden="false" customHeight="false" outlineLevel="0" collapsed="false">
      <c r="A289" s="13"/>
      <c r="B289" s="13"/>
      <c r="C289" s="13"/>
      <c r="D289" s="13"/>
      <c r="E289" s="17"/>
      <c r="F289" s="18"/>
      <c r="G289" s="19" t="str">
        <f aca="false">IF(OR(E289="",E289=0),"",F289/E289)</f>
        <v/>
      </c>
    </row>
    <row r="290" customFormat="false" ht="15" hidden="false" customHeight="false" outlineLevel="0" collapsed="false">
      <c r="A290" s="13"/>
      <c r="B290" s="13"/>
      <c r="C290" s="13"/>
      <c r="D290" s="13"/>
      <c r="E290" s="17"/>
      <c r="F290" s="18"/>
      <c r="G290" s="19" t="str">
        <f aca="false">IF(OR(E290="",E290=0),"",F290/E290)</f>
        <v/>
      </c>
    </row>
    <row r="291" customFormat="false" ht="15" hidden="false" customHeight="false" outlineLevel="0" collapsed="false">
      <c r="A291" s="13"/>
      <c r="B291" s="13"/>
      <c r="C291" s="13"/>
      <c r="D291" s="13"/>
      <c r="E291" s="17"/>
      <c r="F291" s="18"/>
      <c r="G291" s="19" t="str">
        <f aca="false">IF(OR(E291="",E291=0),"",F291/E291)</f>
        <v/>
      </c>
    </row>
    <row r="292" customFormat="false" ht="15" hidden="false" customHeight="false" outlineLevel="0" collapsed="false">
      <c r="A292" s="13"/>
      <c r="B292" s="13"/>
      <c r="C292" s="13"/>
      <c r="D292" s="13"/>
      <c r="E292" s="17"/>
      <c r="F292" s="18"/>
      <c r="G292" s="19" t="str">
        <f aca="false">IF(OR(E292="",E292=0),"",F292/E292)</f>
        <v/>
      </c>
    </row>
    <row r="293" customFormat="false" ht="15" hidden="false" customHeight="false" outlineLevel="0" collapsed="false">
      <c r="A293" s="13"/>
      <c r="B293" s="13"/>
      <c r="C293" s="13"/>
      <c r="D293" s="13"/>
      <c r="E293" s="17"/>
      <c r="F293" s="18"/>
      <c r="G293" s="19" t="str">
        <f aca="false">IF(OR(E293="",E293=0),"",F293/E293)</f>
        <v/>
      </c>
    </row>
    <row r="294" customFormat="false" ht="15" hidden="false" customHeight="false" outlineLevel="0" collapsed="false">
      <c r="A294" s="13"/>
      <c r="B294" s="13"/>
      <c r="C294" s="13"/>
      <c r="D294" s="13"/>
      <c r="E294" s="17"/>
      <c r="F294" s="18"/>
      <c r="G294" s="19" t="str">
        <f aca="false">IF(OR(E294="",E294=0),"",F294/E294)</f>
        <v/>
      </c>
    </row>
    <row r="295" customFormat="false" ht="15" hidden="false" customHeight="false" outlineLevel="0" collapsed="false">
      <c r="A295" s="13"/>
      <c r="B295" s="13"/>
      <c r="C295" s="13"/>
      <c r="D295" s="13"/>
      <c r="E295" s="17"/>
      <c r="F295" s="18"/>
      <c r="G295" s="19" t="str">
        <f aca="false">IF(OR(E295="",E295=0),"",F295/E295)</f>
        <v/>
      </c>
    </row>
    <row r="296" customFormat="false" ht="15" hidden="false" customHeight="false" outlineLevel="0" collapsed="false">
      <c r="A296" s="13"/>
      <c r="B296" s="13"/>
      <c r="C296" s="13"/>
      <c r="D296" s="13"/>
      <c r="E296" s="17"/>
      <c r="F296" s="18"/>
      <c r="G296" s="19" t="str">
        <f aca="false">IF(OR(E296="",E296=0),"",F296/E296)</f>
        <v/>
      </c>
    </row>
    <row r="297" customFormat="false" ht="15" hidden="false" customHeight="false" outlineLevel="0" collapsed="false">
      <c r="A297" s="13"/>
      <c r="B297" s="13"/>
      <c r="C297" s="13"/>
      <c r="D297" s="13"/>
      <c r="E297" s="17"/>
      <c r="F297" s="18"/>
      <c r="G297" s="19" t="str">
        <f aca="false">IF(OR(E297="",E297=0),"",F297/E297)</f>
        <v/>
      </c>
    </row>
    <row r="298" customFormat="false" ht="15" hidden="false" customHeight="false" outlineLevel="0" collapsed="false">
      <c r="A298" s="13"/>
      <c r="B298" s="13"/>
      <c r="C298" s="13"/>
      <c r="D298" s="13"/>
      <c r="E298" s="17"/>
      <c r="F298" s="18"/>
      <c r="G298" s="19" t="str">
        <f aca="false">IF(OR(E298="",E298=0),"",F298/E298)</f>
        <v/>
      </c>
    </row>
    <row r="299" customFormat="false" ht="15" hidden="false" customHeight="false" outlineLevel="0" collapsed="false">
      <c r="A299" s="13"/>
      <c r="B299" s="13"/>
      <c r="C299" s="13"/>
      <c r="D299" s="13"/>
      <c r="E299" s="17"/>
      <c r="F299" s="18"/>
      <c r="G299" s="19" t="str">
        <f aca="false">IF(OR(E299="",E299=0),"",F299/E299)</f>
        <v/>
      </c>
    </row>
    <row r="300" customFormat="false" ht="15" hidden="false" customHeight="false" outlineLevel="0" collapsed="false">
      <c r="A300" s="13"/>
      <c r="B300" s="13"/>
      <c r="C300" s="13"/>
      <c r="D300" s="13"/>
      <c r="E300" s="17"/>
      <c r="F300" s="18"/>
      <c r="G300" s="19" t="str">
        <f aca="false">IF(OR(E300="",E300=0),"",F300/E300)</f>
        <v/>
      </c>
    </row>
    <row r="301" customFormat="false" ht="15" hidden="false" customHeight="false" outlineLevel="0" collapsed="false">
      <c r="A301" s="13"/>
      <c r="B301" s="13"/>
      <c r="C301" s="13"/>
      <c r="D301" s="13"/>
      <c r="E301" s="17"/>
      <c r="F301" s="18"/>
      <c r="G301" s="19" t="str">
        <f aca="false">IF(OR(E301="",E301=0),"",F301/E301)</f>
        <v/>
      </c>
    </row>
    <row r="302" customFormat="false" ht="15" hidden="false" customHeight="false" outlineLevel="0" collapsed="false">
      <c r="A302" s="13"/>
      <c r="B302" s="13"/>
      <c r="C302" s="13"/>
      <c r="D302" s="13"/>
      <c r="E302" s="17"/>
      <c r="F302" s="18"/>
      <c r="G302" s="19" t="str">
        <f aca="false">IF(OR(E302="",E302=0),"",F302/E302)</f>
        <v/>
      </c>
    </row>
    <row r="303" customFormat="false" ht="15" hidden="false" customHeight="false" outlineLevel="0" collapsed="false">
      <c r="A303" s="13"/>
      <c r="B303" s="13"/>
      <c r="C303" s="13"/>
      <c r="D303" s="13"/>
      <c r="E303" s="17"/>
      <c r="F303" s="18"/>
      <c r="G303" s="19" t="str">
        <f aca="false">IF(OR(E303="",E303=0),"",F303/E303)</f>
        <v/>
      </c>
    </row>
    <row r="304" customFormat="false" ht="15" hidden="false" customHeight="false" outlineLevel="0" collapsed="false">
      <c r="A304" s="13"/>
      <c r="B304" s="13"/>
      <c r="C304" s="13"/>
      <c r="D304" s="13"/>
      <c r="E304" s="17"/>
      <c r="F304" s="18"/>
      <c r="G304" s="19" t="str">
        <f aca="false">IF(OR(E304="",E304=0),"",F304/E304)</f>
        <v/>
      </c>
    </row>
  </sheetData>
  <autoFilter ref="A4:G304"/>
  <dataValidations count="2">
    <dataValidation allowBlank="true" errorStyle="stop" operator="between" showDropDown="false" showErrorMessage="false" showInputMessage="false" sqref="C5:C304" type="list">
      <formula1>Parametros!$A$7:$A$36</formula1>
      <formula2>0</formula2>
    </dataValidation>
    <dataValidation allowBlank="true" errorStyle="stop" operator="between" showDropDown="false" showErrorMessage="false" showInputMessage="false" sqref="D5:D304" type="list">
      <formula1>Parametros!$D$7:$D$36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7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1" min="11" style="0" width="24"/>
    <col collapsed="false" customWidth="true" hidden="false" outlineLevel="0" max="24" min="12" style="0" width="12"/>
  </cols>
  <sheetData>
    <row r="1" customFormat="false" ht="17.35" hidden="false" customHeight="false" outlineLevel="0" collapsed="false">
      <c r="A1" s="1" t="s">
        <v>164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15" hidden="false" customHeight="false" outlineLevel="0" collapsed="false">
      <c r="A2" s="3" t="s">
        <v>165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customFormat="false" ht="42" hidden="false" customHeight="true" outlineLevel="0" collapsed="false">
      <c r="A4" s="15" t="s">
        <v>166</v>
      </c>
      <c r="B4" s="15" t="s">
        <v>77</v>
      </c>
      <c r="C4" s="15" t="s">
        <v>157</v>
      </c>
      <c r="D4" s="15" t="s">
        <v>159</v>
      </c>
      <c r="E4" s="15" t="s">
        <v>79</v>
      </c>
      <c r="F4" s="15" t="s">
        <v>167</v>
      </c>
      <c r="G4" s="15" t="s">
        <v>103</v>
      </c>
      <c r="H4" s="15" t="s">
        <v>168</v>
      </c>
      <c r="I4" s="15" t="s">
        <v>169</v>
      </c>
      <c r="J4" s="2"/>
      <c r="K4" s="22" t="s">
        <v>170</v>
      </c>
      <c r="L4" s="22" t="s">
        <v>44</v>
      </c>
      <c r="M4" s="22" t="s">
        <v>51</v>
      </c>
      <c r="N4" s="22" t="s">
        <v>57</v>
      </c>
      <c r="O4" s="22" t="s">
        <v>61</v>
      </c>
      <c r="P4" s="22" t="s">
        <v>64</v>
      </c>
      <c r="Q4" s="22" t="s">
        <v>66</v>
      </c>
      <c r="R4" s="22" t="s">
        <v>68</v>
      </c>
      <c r="S4" s="22" t="s">
        <v>69</v>
      </c>
      <c r="T4" s="22" t="s">
        <v>70</v>
      </c>
      <c r="U4" s="22" t="s">
        <v>71</v>
      </c>
      <c r="V4" s="22" t="s">
        <v>72</v>
      </c>
      <c r="W4" s="22" t="s">
        <v>73</v>
      </c>
      <c r="X4" s="22" t="s">
        <v>171</v>
      </c>
    </row>
    <row r="5" customFormat="false" ht="15" hidden="false" customHeight="false" outlineLevel="0" collapsed="false">
      <c r="A5" s="16" t="n">
        <v>46297</v>
      </c>
      <c r="B5" s="14" t="n">
        <f aca="false">IF(A5="","",MONTH(A5))</f>
        <v>10</v>
      </c>
      <c r="C5" s="14" t="n">
        <f aca="false">IF(A5="","",YEAR(A5))</f>
        <v>2026</v>
      </c>
      <c r="D5" s="13" t="s">
        <v>45</v>
      </c>
      <c r="E5" s="13" t="s">
        <v>39</v>
      </c>
      <c r="F5" s="13" t="s">
        <v>172</v>
      </c>
      <c r="G5" s="17" t="n">
        <v>40</v>
      </c>
      <c r="H5" s="18" t="n">
        <v>23.5</v>
      </c>
      <c r="I5" s="19" t="n">
        <f aca="false">IF(G5="","",G5*H5)</f>
        <v>940</v>
      </c>
      <c r="J5" s="2"/>
      <c r="K5" s="23" t="str">
        <f aca="false">IF(Parametros!$A$7="","",Parametros!$A$7)</f>
        <v>Lima - Sede Central</v>
      </c>
      <c r="L5" s="19" t="n">
        <f aca="false">IF($K5="","",SUMIFS($I$5:$I$304,$D$5:$D$304,$K5,$B$5:$B$304,1,$C$5:$C$304,Parametros!$B$4))</f>
        <v>0</v>
      </c>
      <c r="M5" s="19" t="n">
        <f aca="false">IF($K5="","",SUMIFS($I$5:$I$304,$D$5:$D$304,$K5,$B$5:$B$304,2,$C$5:$C$304,Parametros!$B$4))</f>
        <v>0</v>
      </c>
      <c r="N5" s="19" t="n">
        <f aca="false">IF($K5="","",SUMIFS($I$5:$I$304,$D$5:$D$304,$K5,$B$5:$B$304,3,$C$5:$C$304,Parametros!$B$4))</f>
        <v>0</v>
      </c>
      <c r="O5" s="19" t="n">
        <f aca="false">IF($K5="","",SUMIFS($I$5:$I$304,$D$5:$D$304,$K5,$B$5:$B$304,4,$C$5:$C$304,Parametros!$B$4))</f>
        <v>0</v>
      </c>
      <c r="P5" s="19" t="n">
        <f aca="false">IF($K5="","",SUMIFS($I$5:$I$304,$D$5:$D$304,$K5,$B$5:$B$304,5,$C$5:$C$304,Parametros!$B$4))</f>
        <v>0</v>
      </c>
      <c r="Q5" s="19" t="n">
        <f aca="false">IF($K5="","",SUMIFS($I$5:$I$304,$D$5:$D$304,$K5,$B$5:$B$304,6,$C$5:$C$304,Parametros!$B$4))</f>
        <v>0</v>
      </c>
      <c r="R5" s="19" t="n">
        <f aca="false">IF($K5="","",SUMIFS($I$5:$I$304,$D$5:$D$304,$K5,$B$5:$B$304,7,$C$5:$C$304,Parametros!$B$4))</f>
        <v>0</v>
      </c>
      <c r="S5" s="19" t="n">
        <f aca="false">IF($K5="","",SUMIFS($I$5:$I$304,$D$5:$D$304,$K5,$B$5:$B$304,8,$C$5:$C$304,Parametros!$B$4))</f>
        <v>0</v>
      </c>
      <c r="T5" s="19" t="n">
        <f aca="false">IF($K5="","",SUMIFS($I$5:$I$304,$D$5:$D$304,$K5,$B$5:$B$304,9,$C$5:$C$304,Parametros!$B$4))</f>
        <v>0</v>
      </c>
      <c r="U5" s="19" t="n">
        <f aca="false">IF($K5="","",SUMIFS($I$5:$I$304,$D$5:$D$304,$K5,$B$5:$B$304,10,$C$5:$C$304,Parametros!$B$4))</f>
        <v>0</v>
      </c>
      <c r="V5" s="19" t="n">
        <f aca="false">IF($K5="","",SUMIFS($I$5:$I$304,$D$5:$D$304,$K5,$B$5:$B$304,11,$C$5:$C$304,Parametros!$B$4))</f>
        <v>0</v>
      </c>
      <c r="W5" s="19" t="n">
        <f aca="false">IF($K5="","",SUMIFS($I$5:$I$304,$D$5:$D$304,$K5,$B$5:$B$304,12,$C$5:$C$304,Parametros!$B$4))</f>
        <v>0</v>
      </c>
      <c r="X5" s="24" t="n">
        <f aca="false">IF($K5="","",SUM(L5:W5))</f>
        <v>0</v>
      </c>
    </row>
    <row r="6" customFormat="false" ht="15" hidden="false" customHeight="false" outlineLevel="0" collapsed="false">
      <c r="A6" s="16" t="n">
        <v>46298</v>
      </c>
      <c r="B6" s="14" t="n">
        <f aca="false">IF(A6="","",MONTH(A6))</f>
        <v>10</v>
      </c>
      <c r="C6" s="14" t="n">
        <f aca="false">IF(A6="","",YEAR(A6))</f>
        <v>2026</v>
      </c>
      <c r="D6" s="13" t="s">
        <v>52</v>
      </c>
      <c r="E6" s="13" t="s">
        <v>59</v>
      </c>
      <c r="F6" s="13" t="s">
        <v>93</v>
      </c>
      <c r="G6" s="17" t="n">
        <v>25</v>
      </c>
      <c r="H6" s="18" t="n">
        <v>6.7</v>
      </c>
      <c r="I6" s="19" t="n">
        <f aca="false">IF(G6="","",G6*H6)</f>
        <v>167.5</v>
      </c>
      <c r="J6" s="2"/>
      <c r="K6" s="23" t="str">
        <f aca="false">IF(Parametros!$A$8="","",Parametros!$A$8)</f>
        <v>Chimbote</v>
      </c>
      <c r="L6" s="19" t="n">
        <f aca="false">IF($K6="","",SUMIFS($I$5:$I$304,$D$5:$D$304,$K6,$B$5:$B$304,1,$C$5:$C$304,Parametros!$B$4))</f>
        <v>0</v>
      </c>
      <c r="M6" s="19" t="n">
        <f aca="false">IF($K6="","",SUMIFS($I$5:$I$304,$D$5:$D$304,$K6,$B$5:$B$304,2,$C$5:$C$304,Parametros!$B$4))</f>
        <v>0</v>
      </c>
      <c r="N6" s="19" t="n">
        <f aca="false">IF($K6="","",SUMIFS($I$5:$I$304,$D$5:$D$304,$K6,$B$5:$B$304,3,$C$5:$C$304,Parametros!$B$4))</f>
        <v>0</v>
      </c>
      <c r="O6" s="19" t="n">
        <f aca="false">IF($K6="","",SUMIFS($I$5:$I$304,$D$5:$D$304,$K6,$B$5:$B$304,4,$C$5:$C$304,Parametros!$B$4))</f>
        <v>0</v>
      </c>
      <c r="P6" s="19" t="n">
        <f aca="false">IF($K6="","",SUMIFS($I$5:$I$304,$D$5:$D$304,$K6,$B$5:$B$304,5,$C$5:$C$304,Parametros!$B$4))</f>
        <v>0</v>
      </c>
      <c r="Q6" s="19" t="n">
        <f aca="false">IF($K6="","",SUMIFS($I$5:$I$304,$D$5:$D$304,$K6,$B$5:$B$304,6,$C$5:$C$304,Parametros!$B$4))</f>
        <v>0</v>
      </c>
      <c r="R6" s="19" t="n">
        <f aca="false">IF($K6="","",SUMIFS($I$5:$I$304,$D$5:$D$304,$K6,$B$5:$B$304,7,$C$5:$C$304,Parametros!$B$4))</f>
        <v>0</v>
      </c>
      <c r="S6" s="19" t="n">
        <f aca="false">IF($K6="","",SUMIFS($I$5:$I$304,$D$5:$D$304,$K6,$B$5:$B$304,8,$C$5:$C$304,Parametros!$B$4))</f>
        <v>0</v>
      </c>
      <c r="T6" s="19" t="n">
        <f aca="false">IF($K6="","",SUMIFS($I$5:$I$304,$D$5:$D$304,$K6,$B$5:$B$304,9,$C$5:$C$304,Parametros!$B$4))</f>
        <v>0</v>
      </c>
      <c r="U6" s="19" t="n">
        <f aca="false">IF($K6="","",SUMIFS($I$5:$I$304,$D$5:$D$304,$K6,$B$5:$B$304,10,$C$5:$C$304,Parametros!$B$4))</f>
        <v>940</v>
      </c>
      <c r="V6" s="19" t="n">
        <f aca="false">IF($K6="","",SUMIFS($I$5:$I$304,$D$5:$D$304,$K6,$B$5:$B$304,11,$C$5:$C$304,Parametros!$B$4))</f>
        <v>0</v>
      </c>
      <c r="W6" s="19" t="n">
        <f aca="false">IF($K6="","",SUMIFS($I$5:$I$304,$D$5:$D$304,$K6,$B$5:$B$304,12,$C$5:$C$304,Parametros!$B$4))</f>
        <v>0</v>
      </c>
      <c r="X6" s="24" t="n">
        <f aca="false">IF($K6="","",SUM(L6:W6))</f>
        <v>940</v>
      </c>
    </row>
    <row r="7" customFormat="false" ht="15" hidden="false" customHeight="false" outlineLevel="0" collapsed="false">
      <c r="A7" s="16"/>
      <c r="B7" s="14" t="str">
        <f aca="false">IF(A7="","",MONTH(A7))</f>
        <v/>
      </c>
      <c r="C7" s="14" t="str">
        <f aca="false">IF(A7="","",YEAR(A7))</f>
        <v/>
      </c>
      <c r="D7" s="13"/>
      <c r="E7" s="13"/>
      <c r="F7" s="13"/>
      <c r="G7" s="17"/>
      <c r="H7" s="18"/>
      <c r="I7" s="19" t="str">
        <f aca="false">IF(G7="","",G7*H7)</f>
        <v/>
      </c>
      <c r="J7" s="2"/>
      <c r="K7" s="23" t="str">
        <f aca="false">IF(Parametros!$A$9="","",Parametros!$A$9)</f>
        <v>Trujillo</v>
      </c>
      <c r="L7" s="19" t="n">
        <f aca="false">IF($K7="","",SUMIFS($I$5:$I$304,$D$5:$D$304,$K7,$B$5:$B$304,1,$C$5:$C$304,Parametros!$B$4))</f>
        <v>0</v>
      </c>
      <c r="M7" s="19" t="n">
        <f aca="false">IF($K7="","",SUMIFS($I$5:$I$304,$D$5:$D$304,$K7,$B$5:$B$304,2,$C$5:$C$304,Parametros!$B$4))</f>
        <v>0</v>
      </c>
      <c r="N7" s="19" t="n">
        <f aca="false">IF($K7="","",SUMIFS($I$5:$I$304,$D$5:$D$304,$K7,$B$5:$B$304,3,$C$5:$C$304,Parametros!$B$4))</f>
        <v>0</v>
      </c>
      <c r="O7" s="19" t="n">
        <f aca="false">IF($K7="","",SUMIFS($I$5:$I$304,$D$5:$D$304,$K7,$B$5:$B$304,4,$C$5:$C$304,Parametros!$B$4))</f>
        <v>0</v>
      </c>
      <c r="P7" s="19" t="n">
        <f aca="false">IF($K7="","",SUMIFS($I$5:$I$304,$D$5:$D$304,$K7,$B$5:$B$304,5,$C$5:$C$304,Parametros!$B$4))</f>
        <v>0</v>
      </c>
      <c r="Q7" s="19" t="n">
        <f aca="false">IF($K7="","",SUMIFS($I$5:$I$304,$D$5:$D$304,$K7,$B$5:$B$304,6,$C$5:$C$304,Parametros!$B$4))</f>
        <v>0</v>
      </c>
      <c r="R7" s="19" t="n">
        <f aca="false">IF($K7="","",SUMIFS($I$5:$I$304,$D$5:$D$304,$K7,$B$5:$B$304,7,$C$5:$C$304,Parametros!$B$4))</f>
        <v>0</v>
      </c>
      <c r="S7" s="19" t="n">
        <f aca="false">IF($K7="","",SUMIFS($I$5:$I$304,$D$5:$D$304,$K7,$B$5:$B$304,8,$C$5:$C$304,Parametros!$B$4))</f>
        <v>0</v>
      </c>
      <c r="T7" s="19" t="n">
        <f aca="false">IF($K7="","",SUMIFS($I$5:$I$304,$D$5:$D$304,$K7,$B$5:$B$304,9,$C$5:$C$304,Parametros!$B$4))</f>
        <v>0</v>
      </c>
      <c r="U7" s="19" t="n">
        <f aca="false">IF($K7="","",SUMIFS($I$5:$I$304,$D$5:$D$304,$K7,$B$5:$B$304,10,$C$5:$C$304,Parametros!$B$4))</f>
        <v>167.5</v>
      </c>
      <c r="V7" s="19" t="n">
        <f aca="false">IF($K7="","",SUMIFS($I$5:$I$304,$D$5:$D$304,$K7,$B$5:$B$304,11,$C$5:$C$304,Parametros!$B$4))</f>
        <v>0</v>
      </c>
      <c r="W7" s="19" t="n">
        <f aca="false">IF($K7="","",SUMIFS($I$5:$I$304,$D$5:$D$304,$K7,$B$5:$B$304,12,$C$5:$C$304,Parametros!$B$4))</f>
        <v>0</v>
      </c>
      <c r="X7" s="24" t="n">
        <f aca="false">IF($K7="","",SUM(L7:W7))</f>
        <v>167.5</v>
      </c>
    </row>
    <row r="8" customFormat="false" ht="15" hidden="false" customHeight="false" outlineLevel="0" collapsed="false">
      <c r="A8" s="16"/>
      <c r="B8" s="14" t="str">
        <f aca="false">IF(A8="","",MONTH(A8))</f>
        <v/>
      </c>
      <c r="C8" s="14" t="str">
        <f aca="false">IF(A8="","",YEAR(A8))</f>
        <v/>
      </c>
      <c r="D8" s="13"/>
      <c r="E8" s="13"/>
      <c r="F8" s="13"/>
      <c r="G8" s="17"/>
      <c r="H8" s="18"/>
      <c r="I8" s="19" t="str">
        <f aca="false">IF(G8="","",G8*H8)</f>
        <v/>
      </c>
      <c r="J8" s="2"/>
      <c r="K8" s="23" t="str">
        <f aca="false">IF(Parametros!$A$10="","",Parametros!$A$10)</f>
        <v>Chiclayo</v>
      </c>
      <c r="L8" s="19" t="n">
        <f aca="false">IF($K8="","",SUMIFS($I$5:$I$304,$D$5:$D$304,$K8,$B$5:$B$304,1,$C$5:$C$304,Parametros!$B$4))</f>
        <v>0</v>
      </c>
      <c r="M8" s="19" t="n">
        <f aca="false">IF($K8="","",SUMIFS($I$5:$I$304,$D$5:$D$304,$K8,$B$5:$B$304,2,$C$5:$C$304,Parametros!$B$4))</f>
        <v>0</v>
      </c>
      <c r="N8" s="19" t="n">
        <f aca="false">IF($K8="","",SUMIFS($I$5:$I$304,$D$5:$D$304,$K8,$B$5:$B$304,3,$C$5:$C$304,Parametros!$B$4))</f>
        <v>0</v>
      </c>
      <c r="O8" s="19" t="n">
        <f aca="false">IF($K8="","",SUMIFS($I$5:$I$304,$D$5:$D$304,$K8,$B$5:$B$304,4,$C$5:$C$304,Parametros!$B$4))</f>
        <v>0</v>
      </c>
      <c r="P8" s="19" t="n">
        <f aca="false">IF($K8="","",SUMIFS($I$5:$I$304,$D$5:$D$304,$K8,$B$5:$B$304,5,$C$5:$C$304,Parametros!$B$4))</f>
        <v>0</v>
      </c>
      <c r="Q8" s="19" t="n">
        <f aca="false">IF($K8="","",SUMIFS($I$5:$I$304,$D$5:$D$304,$K8,$B$5:$B$304,6,$C$5:$C$304,Parametros!$B$4))</f>
        <v>0</v>
      </c>
      <c r="R8" s="19" t="n">
        <f aca="false">IF($K8="","",SUMIFS($I$5:$I$304,$D$5:$D$304,$K8,$B$5:$B$304,7,$C$5:$C$304,Parametros!$B$4))</f>
        <v>0</v>
      </c>
      <c r="S8" s="19" t="n">
        <f aca="false">IF($K8="","",SUMIFS($I$5:$I$304,$D$5:$D$304,$K8,$B$5:$B$304,8,$C$5:$C$304,Parametros!$B$4))</f>
        <v>0</v>
      </c>
      <c r="T8" s="19" t="n">
        <f aca="false">IF($K8="","",SUMIFS($I$5:$I$304,$D$5:$D$304,$K8,$B$5:$B$304,9,$C$5:$C$304,Parametros!$B$4))</f>
        <v>0</v>
      </c>
      <c r="U8" s="19" t="n">
        <f aca="false">IF($K8="","",SUMIFS($I$5:$I$304,$D$5:$D$304,$K8,$B$5:$B$304,10,$C$5:$C$304,Parametros!$B$4))</f>
        <v>0</v>
      </c>
      <c r="V8" s="19" t="n">
        <f aca="false">IF($K8="","",SUMIFS($I$5:$I$304,$D$5:$D$304,$K8,$B$5:$B$304,11,$C$5:$C$304,Parametros!$B$4))</f>
        <v>0</v>
      </c>
      <c r="W8" s="19" t="n">
        <f aca="false">IF($K8="","",SUMIFS($I$5:$I$304,$D$5:$D$304,$K8,$B$5:$B$304,12,$C$5:$C$304,Parametros!$B$4))</f>
        <v>0</v>
      </c>
      <c r="X8" s="24" t="n">
        <f aca="false">IF($K8="","",SUM(L8:W8))</f>
        <v>0</v>
      </c>
    </row>
    <row r="9" customFormat="false" ht="15" hidden="false" customHeight="false" outlineLevel="0" collapsed="false">
      <c r="A9" s="16"/>
      <c r="B9" s="14" t="str">
        <f aca="false">IF(A9="","",MONTH(A9))</f>
        <v/>
      </c>
      <c r="C9" s="14" t="str">
        <f aca="false">IF(A9="","",YEAR(A9))</f>
        <v/>
      </c>
      <c r="D9" s="13"/>
      <c r="E9" s="13"/>
      <c r="F9" s="13"/>
      <c r="G9" s="17"/>
      <c r="H9" s="18"/>
      <c r="I9" s="19" t="str">
        <f aca="false">IF(G9="","",G9*H9)</f>
        <v/>
      </c>
      <c r="J9" s="2"/>
      <c r="K9" s="23" t="str">
        <f aca="false">IF(Parametros!$A$11="","",Parametros!$A$11)</f>
        <v>Piura</v>
      </c>
      <c r="L9" s="19" t="n">
        <f aca="false">IF($K9="","",SUMIFS($I$5:$I$304,$D$5:$D$304,$K9,$B$5:$B$304,1,$C$5:$C$304,Parametros!$B$4))</f>
        <v>0</v>
      </c>
      <c r="M9" s="19" t="n">
        <f aca="false">IF($K9="","",SUMIFS($I$5:$I$304,$D$5:$D$304,$K9,$B$5:$B$304,2,$C$5:$C$304,Parametros!$B$4))</f>
        <v>0</v>
      </c>
      <c r="N9" s="19" t="n">
        <f aca="false">IF($K9="","",SUMIFS($I$5:$I$304,$D$5:$D$304,$K9,$B$5:$B$304,3,$C$5:$C$304,Parametros!$B$4))</f>
        <v>0</v>
      </c>
      <c r="O9" s="19" t="n">
        <f aca="false">IF($K9="","",SUMIFS($I$5:$I$304,$D$5:$D$304,$K9,$B$5:$B$304,4,$C$5:$C$304,Parametros!$B$4))</f>
        <v>0</v>
      </c>
      <c r="P9" s="19" t="n">
        <f aca="false">IF($K9="","",SUMIFS($I$5:$I$304,$D$5:$D$304,$K9,$B$5:$B$304,5,$C$5:$C$304,Parametros!$B$4))</f>
        <v>0</v>
      </c>
      <c r="Q9" s="19" t="n">
        <f aca="false">IF($K9="","",SUMIFS($I$5:$I$304,$D$5:$D$304,$K9,$B$5:$B$304,6,$C$5:$C$304,Parametros!$B$4))</f>
        <v>0</v>
      </c>
      <c r="R9" s="19" t="n">
        <f aca="false">IF($K9="","",SUMIFS($I$5:$I$304,$D$5:$D$304,$K9,$B$5:$B$304,7,$C$5:$C$304,Parametros!$B$4))</f>
        <v>0</v>
      </c>
      <c r="S9" s="19" t="n">
        <f aca="false">IF($K9="","",SUMIFS($I$5:$I$304,$D$5:$D$304,$K9,$B$5:$B$304,8,$C$5:$C$304,Parametros!$B$4))</f>
        <v>0</v>
      </c>
      <c r="T9" s="19" t="n">
        <f aca="false">IF($K9="","",SUMIFS($I$5:$I$304,$D$5:$D$304,$K9,$B$5:$B$304,9,$C$5:$C$304,Parametros!$B$4))</f>
        <v>0</v>
      </c>
      <c r="U9" s="19" t="n">
        <f aca="false">IF($K9="","",SUMIFS($I$5:$I$304,$D$5:$D$304,$K9,$B$5:$B$304,10,$C$5:$C$304,Parametros!$B$4))</f>
        <v>0</v>
      </c>
      <c r="V9" s="19" t="n">
        <f aca="false">IF($K9="","",SUMIFS($I$5:$I$304,$D$5:$D$304,$K9,$B$5:$B$304,11,$C$5:$C$304,Parametros!$B$4))</f>
        <v>0</v>
      </c>
      <c r="W9" s="19" t="n">
        <f aca="false">IF($K9="","",SUMIFS($I$5:$I$304,$D$5:$D$304,$K9,$B$5:$B$304,12,$C$5:$C$304,Parametros!$B$4))</f>
        <v>0</v>
      </c>
      <c r="X9" s="24" t="n">
        <f aca="false">IF($K9="","",SUM(L9:W9))</f>
        <v>0</v>
      </c>
    </row>
    <row r="10" customFormat="false" ht="15" hidden="false" customHeight="false" outlineLevel="0" collapsed="false">
      <c r="A10" s="16"/>
      <c r="B10" s="14" t="str">
        <f aca="false">IF(A10="","",MONTH(A10))</f>
        <v/>
      </c>
      <c r="C10" s="14" t="str">
        <f aca="false">IF(A10="","",YEAR(A10))</f>
        <v/>
      </c>
      <c r="D10" s="13"/>
      <c r="E10" s="13"/>
      <c r="F10" s="13"/>
      <c r="G10" s="17"/>
      <c r="H10" s="18"/>
      <c r="I10" s="19" t="str">
        <f aca="false">IF(G10="","",G10*H10)</f>
        <v/>
      </c>
      <c r="J10" s="2"/>
      <c r="K10" s="23" t="str">
        <f aca="false">IF(Parametros!$A$12="","",Parametros!$A$12)</f>
        <v/>
      </c>
      <c r="L10" s="19" t="str">
        <f aca="false">IF($K10="","",SUMIFS($I$5:$I$304,$D$5:$D$304,$K10,$B$5:$B$304,1,$C$5:$C$304,Parametros!$B$4))</f>
        <v/>
      </c>
      <c r="M10" s="19" t="str">
        <f aca="false">IF($K10="","",SUMIFS($I$5:$I$304,$D$5:$D$304,$K10,$B$5:$B$304,2,$C$5:$C$304,Parametros!$B$4))</f>
        <v/>
      </c>
      <c r="N10" s="19" t="str">
        <f aca="false">IF($K10="","",SUMIFS($I$5:$I$304,$D$5:$D$304,$K10,$B$5:$B$304,3,$C$5:$C$304,Parametros!$B$4))</f>
        <v/>
      </c>
      <c r="O10" s="19" t="str">
        <f aca="false">IF($K10="","",SUMIFS($I$5:$I$304,$D$5:$D$304,$K10,$B$5:$B$304,4,$C$5:$C$304,Parametros!$B$4))</f>
        <v/>
      </c>
      <c r="P10" s="19" t="str">
        <f aca="false">IF($K10="","",SUMIFS($I$5:$I$304,$D$5:$D$304,$K10,$B$5:$B$304,5,$C$5:$C$304,Parametros!$B$4))</f>
        <v/>
      </c>
      <c r="Q10" s="19" t="str">
        <f aca="false">IF($K10="","",SUMIFS($I$5:$I$304,$D$5:$D$304,$K10,$B$5:$B$304,6,$C$5:$C$304,Parametros!$B$4))</f>
        <v/>
      </c>
      <c r="R10" s="19" t="str">
        <f aca="false">IF($K10="","",SUMIFS($I$5:$I$304,$D$5:$D$304,$K10,$B$5:$B$304,7,$C$5:$C$304,Parametros!$B$4))</f>
        <v/>
      </c>
      <c r="S10" s="19" t="str">
        <f aca="false">IF($K10="","",SUMIFS($I$5:$I$304,$D$5:$D$304,$K10,$B$5:$B$304,8,$C$5:$C$304,Parametros!$B$4))</f>
        <v/>
      </c>
      <c r="T10" s="19" t="str">
        <f aca="false">IF($K10="","",SUMIFS($I$5:$I$304,$D$5:$D$304,$K10,$B$5:$B$304,9,$C$5:$C$304,Parametros!$B$4))</f>
        <v/>
      </c>
      <c r="U10" s="19" t="str">
        <f aca="false">IF($K10="","",SUMIFS($I$5:$I$304,$D$5:$D$304,$K10,$B$5:$B$304,10,$C$5:$C$304,Parametros!$B$4))</f>
        <v/>
      </c>
      <c r="V10" s="19" t="str">
        <f aca="false">IF($K10="","",SUMIFS($I$5:$I$304,$D$5:$D$304,$K10,$B$5:$B$304,11,$C$5:$C$304,Parametros!$B$4))</f>
        <v/>
      </c>
      <c r="W10" s="19" t="str">
        <f aca="false">IF($K10="","",SUMIFS($I$5:$I$304,$D$5:$D$304,$K10,$B$5:$B$304,12,$C$5:$C$304,Parametros!$B$4))</f>
        <v/>
      </c>
      <c r="X10" s="24" t="str">
        <f aca="false">IF($K10="","",SUM(L10:W10))</f>
        <v/>
      </c>
    </row>
    <row r="11" customFormat="false" ht="15" hidden="false" customHeight="false" outlineLevel="0" collapsed="false">
      <c r="A11" s="16"/>
      <c r="B11" s="14" t="str">
        <f aca="false">IF(A11="","",MONTH(A11))</f>
        <v/>
      </c>
      <c r="C11" s="14" t="str">
        <f aca="false">IF(A11="","",YEAR(A11))</f>
        <v/>
      </c>
      <c r="D11" s="13"/>
      <c r="E11" s="13"/>
      <c r="F11" s="13"/>
      <c r="G11" s="17"/>
      <c r="H11" s="18"/>
      <c r="I11" s="19" t="str">
        <f aca="false">IF(G11="","",G11*H11)</f>
        <v/>
      </c>
      <c r="J11" s="2"/>
      <c r="K11" s="23" t="str">
        <f aca="false">IF(Parametros!$A$13="","",Parametros!$A$13)</f>
        <v/>
      </c>
      <c r="L11" s="19" t="str">
        <f aca="false">IF($K11="","",SUMIFS($I$5:$I$304,$D$5:$D$304,$K11,$B$5:$B$304,1,$C$5:$C$304,Parametros!$B$4))</f>
        <v/>
      </c>
      <c r="M11" s="19" t="str">
        <f aca="false">IF($K11="","",SUMIFS($I$5:$I$304,$D$5:$D$304,$K11,$B$5:$B$304,2,$C$5:$C$304,Parametros!$B$4))</f>
        <v/>
      </c>
      <c r="N11" s="19" t="str">
        <f aca="false">IF($K11="","",SUMIFS($I$5:$I$304,$D$5:$D$304,$K11,$B$5:$B$304,3,$C$5:$C$304,Parametros!$B$4))</f>
        <v/>
      </c>
      <c r="O11" s="19" t="str">
        <f aca="false">IF($K11="","",SUMIFS($I$5:$I$304,$D$5:$D$304,$K11,$B$5:$B$304,4,$C$5:$C$304,Parametros!$B$4))</f>
        <v/>
      </c>
      <c r="P11" s="19" t="str">
        <f aca="false">IF($K11="","",SUMIFS($I$5:$I$304,$D$5:$D$304,$K11,$B$5:$B$304,5,$C$5:$C$304,Parametros!$B$4))</f>
        <v/>
      </c>
      <c r="Q11" s="19" t="str">
        <f aca="false">IF($K11="","",SUMIFS($I$5:$I$304,$D$5:$D$304,$K11,$B$5:$B$304,6,$C$5:$C$304,Parametros!$B$4))</f>
        <v/>
      </c>
      <c r="R11" s="19" t="str">
        <f aca="false">IF($K11="","",SUMIFS($I$5:$I$304,$D$5:$D$304,$K11,$B$5:$B$304,7,$C$5:$C$304,Parametros!$B$4))</f>
        <v/>
      </c>
      <c r="S11" s="19" t="str">
        <f aca="false">IF($K11="","",SUMIFS($I$5:$I$304,$D$5:$D$304,$K11,$B$5:$B$304,8,$C$5:$C$304,Parametros!$B$4))</f>
        <v/>
      </c>
      <c r="T11" s="19" t="str">
        <f aca="false">IF($K11="","",SUMIFS($I$5:$I$304,$D$5:$D$304,$K11,$B$5:$B$304,9,$C$5:$C$304,Parametros!$B$4))</f>
        <v/>
      </c>
      <c r="U11" s="19" t="str">
        <f aca="false">IF($K11="","",SUMIFS($I$5:$I$304,$D$5:$D$304,$K11,$B$5:$B$304,10,$C$5:$C$304,Parametros!$B$4))</f>
        <v/>
      </c>
      <c r="V11" s="19" t="str">
        <f aca="false">IF($K11="","",SUMIFS($I$5:$I$304,$D$5:$D$304,$K11,$B$5:$B$304,11,$C$5:$C$304,Parametros!$B$4))</f>
        <v/>
      </c>
      <c r="W11" s="19" t="str">
        <f aca="false">IF($K11="","",SUMIFS($I$5:$I$304,$D$5:$D$304,$K11,$B$5:$B$304,12,$C$5:$C$304,Parametros!$B$4))</f>
        <v/>
      </c>
      <c r="X11" s="24" t="str">
        <f aca="false">IF($K11="","",SUM(L11:W11))</f>
        <v/>
      </c>
    </row>
    <row r="12" customFormat="false" ht="15" hidden="false" customHeight="false" outlineLevel="0" collapsed="false">
      <c r="A12" s="16"/>
      <c r="B12" s="14" t="str">
        <f aca="false">IF(A12="","",MONTH(A12))</f>
        <v/>
      </c>
      <c r="C12" s="14" t="str">
        <f aca="false">IF(A12="","",YEAR(A12))</f>
        <v/>
      </c>
      <c r="D12" s="13"/>
      <c r="E12" s="13"/>
      <c r="F12" s="13"/>
      <c r="G12" s="17"/>
      <c r="H12" s="18"/>
      <c r="I12" s="19" t="str">
        <f aca="false">IF(G12="","",G12*H12)</f>
        <v/>
      </c>
      <c r="J12" s="2"/>
      <c r="K12" s="23" t="str">
        <f aca="false">IF(Parametros!$A$14="","",Parametros!$A$14)</f>
        <v/>
      </c>
      <c r="L12" s="19" t="str">
        <f aca="false">IF($K12="","",SUMIFS($I$5:$I$304,$D$5:$D$304,$K12,$B$5:$B$304,1,$C$5:$C$304,Parametros!$B$4))</f>
        <v/>
      </c>
      <c r="M12" s="19" t="str">
        <f aca="false">IF($K12="","",SUMIFS($I$5:$I$304,$D$5:$D$304,$K12,$B$5:$B$304,2,$C$5:$C$304,Parametros!$B$4))</f>
        <v/>
      </c>
      <c r="N12" s="19" t="str">
        <f aca="false">IF($K12="","",SUMIFS($I$5:$I$304,$D$5:$D$304,$K12,$B$5:$B$304,3,$C$5:$C$304,Parametros!$B$4))</f>
        <v/>
      </c>
      <c r="O12" s="19" t="str">
        <f aca="false">IF($K12="","",SUMIFS($I$5:$I$304,$D$5:$D$304,$K12,$B$5:$B$304,4,$C$5:$C$304,Parametros!$B$4))</f>
        <v/>
      </c>
      <c r="P12" s="19" t="str">
        <f aca="false">IF($K12="","",SUMIFS($I$5:$I$304,$D$5:$D$304,$K12,$B$5:$B$304,5,$C$5:$C$304,Parametros!$B$4))</f>
        <v/>
      </c>
      <c r="Q12" s="19" t="str">
        <f aca="false">IF($K12="","",SUMIFS($I$5:$I$304,$D$5:$D$304,$K12,$B$5:$B$304,6,$C$5:$C$304,Parametros!$B$4))</f>
        <v/>
      </c>
      <c r="R12" s="19" t="str">
        <f aca="false">IF($K12="","",SUMIFS($I$5:$I$304,$D$5:$D$304,$K12,$B$5:$B$304,7,$C$5:$C$304,Parametros!$B$4))</f>
        <v/>
      </c>
      <c r="S12" s="19" t="str">
        <f aca="false">IF($K12="","",SUMIFS($I$5:$I$304,$D$5:$D$304,$K12,$B$5:$B$304,8,$C$5:$C$304,Parametros!$B$4))</f>
        <v/>
      </c>
      <c r="T12" s="19" t="str">
        <f aca="false">IF($K12="","",SUMIFS($I$5:$I$304,$D$5:$D$304,$K12,$B$5:$B$304,9,$C$5:$C$304,Parametros!$B$4))</f>
        <v/>
      </c>
      <c r="U12" s="19" t="str">
        <f aca="false">IF($K12="","",SUMIFS($I$5:$I$304,$D$5:$D$304,$K12,$B$5:$B$304,10,$C$5:$C$304,Parametros!$B$4))</f>
        <v/>
      </c>
      <c r="V12" s="19" t="str">
        <f aca="false">IF($K12="","",SUMIFS($I$5:$I$304,$D$5:$D$304,$K12,$B$5:$B$304,11,$C$5:$C$304,Parametros!$B$4))</f>
        <v/>
      </c>
      <c r="W12" s="19" t="str">
        <f aca="false">IF($K12="","",SUMIFS($I$5:$I$304,$D$5:$D$304,$K12,$B$5:$B$304,12,$C$5:$C$304,Parametros!$B$4))</f>
        <v/>
      </c>
      <c r="X12" s="24" t="str">
        <f aca="false">IF($K12="","",SUM(L12:W12))</f>
        <v/>
      </c>
    </row>
    <row r="13" customFormat="false" ht="15" hidden="false" customHeight="false" outlineLevel="0" collapsed="false">
      <c r="A13" s="16"/>
      <c r="B13" s="14" t="str">
        <f aca="false">IF(A13="","",MONTH(A13))</f>
        <v/>
      </c>
      <c r="C13" s="14" t="str">
        <f aca="false">IF(A13="","",YEAR(A13))</f>
        <v/>
      </c>
      <c r="D13" s="13"/>
      <c r="E13" s="13"/>
      <c r="F13" s="13"/>
      <c r="G13" s="17"/>
      <c r="H13" s="18"/>
      <c r="I13" s="19" t="str">
        <f aca="false">IF(G13="","",G13*H13)</f>
        <v/>
      </c>
      <c r="J13" s="2"/>
      <c r="K13" s="23" t="str">
        <f aca="false">IF(Parametros!$A$15="","",Parametros!$A$15)</f>
        <v/>
      </c>
      <c r="L13" s="19" t="str">
        <f aca="false">IF($K13="","",SUMIFS($I$5:$I$304,$D$5:$D$304,$K13,$B$5:$B$304,1,$C$5:$C$304,Parametros!$B$4))</f>
        <v/>
      </c>
      <c r="M13" s="19" t="str">
        <f aca="false">IF($K13="","",SUMIFS($I$5:$I$304,$D$5:$D$304,$K13,$B$5:$B$304,2,$C$5:$C$304,Parametros!$B$4))</f>
        <v/>
      </c>
      <c r="N13" s="19" t="str">
        <f aca="false">IF($K13="","",SUMIFS($I$5:$I$304,$D$5:$D$304,$K13,$B$5:$B$304,3,$C$5:$C$304,Parametros!$B$4))</f>
        <v/>
      </c>
      <c r="O13" s="19" t="str">
        <f aca="false">IF($K13="","",SUMIFS($I$5:$I$304,$D$5:$D$304,$K13,$B$5:$B$304,4,$C$5:$C$304,Parametros!$B$4))</f>
        <v/>
      </c>
      <c r="P13" s="19" t="str">
        <f aca="false">IF($K13="","",SUMIFS($I$5:$I$304,$D$5:$D$304,$K13,$B$5:$B$304,5,$C$5:$C$304,Parametros!$B$4))</f>
        <v/>
      </c>
      <c r="Q13" s="19" t="str">
        <f aca="false">IF($K13="","",SUMIFS($I$5:$I$304,$D$5:$D$304,$K13,$B$5:$B$304,6,$C$5:$C$304,Parametros!$B$4))</f>
        <v/>
      </c>
      <c r="R13" s="19" t="str">
        <f aca="false">IF($K13="","",SUMIFS($I$5:$I$304,$D$5:$D$304,$K13,$B$5:$B$304,7,$C$5:$C$304,Parametros!$B$4))</f>
        <v/>
      </c>
      <c r="S13" s="19" t="str">
        <f aca="false">IF($K13="","",SUMIFS($I$5:$I$304,$D$5:$D$304,$K13,$B$5:$B$304,8,$C$5:$C$304,Parametros!$B$4))</f>
        <v/>
      </c>
      <c r="T13" s="19" t="str">
        <f aca="false">IF($K13="","",SUMIFS($I$5:$I$304,$D$5:$D$304,$K13,$B$5:$B$304,9,$C$5:$C$304,Parametros!$B$4))</f>
        <v/>
      </c>
      <c r="U13" s="19" t="str">
        <f aca="false">IF($K13="","",SUMIFS($I$5:$I$304,$D$5:$D$304,$K13,$B$5:$B$304,10,$C$5:$C$304,Parametros!$B$4))</f>
        <v/>
      </c>
      <c r="V13" s="19" t="str">
        <f aca="false">IF($K13="","",SUMIFS($I$5:$I$304,$D$5:$D$304,$K13,$B$5:$B$304,11,$C$5:$C$304,Parametros!$B$4))</f>
        <v/>
      </c>
      <c r="W13" s="19" t="str">
        <f aca="false">IF($K13="","",SUMIFS($I$5:$I$304,$D$5:$D$304,$K13,$B$5:$B$304,12,$C$5:$C$304,Parametros!$B$4))</f>
        <v/>
      </c>
      <c r="X13" s="24" t="str">
        <f aca="false">IF($K13="","",SUM(L13:W13))</f>
        <v/>
      </c>
    </row>
    <row r="14" customFormat="false" ht="15" hidden="false" customHeight="false" outlineLevel="0" collapsed="false">
      <c r="A14" s="16"/>
      <c r="B14" s="14" t="str">
        <f aca="false">IF(A14="","",MONTH(A14))</f>
        <v/>
      </c>
      <c r="C14" s="14" t="str">
        <f aca="false">IF(A14="","",YEAR(A14))</f>
        <v/>
      </c>
      <c r="D14" s="13"/>
      <c r="E14" s="13"/>
      <c r="F14" s="13"/>
      <c r="G14" s="17"/>
      <c r="H14" s="18"/>
      <c r="I14" s="19" t="str">
        <f aca="false">IF(G14="","",G14*H14)</f>
        <v/>
      </c>
      <c r="J14" s="2"/>
      <c r="K14" s="23" t="str">
        <f aca="false">IF(Parametros!$A$16="","",Parametros!$A$16)</f>
        <v/>
      </c>
      <c r="L14" s="19" t="str">
        <f aca="false">IF($K14="","",SUMIFS($I$5:$I$304,$D$5:$D$304,$K14,$B$5:$B$304,1,$C$5:$C$304,Parametros!$B$4))</f>
        <v/>
      </c>
      <c r="M14" s="19" t="str">
        <f aca="false">IF($K14="","",SUMIFS($I$5:$I$304,$D$5:$D$304,$K14,$B$5:$B$304,2,$C$5:$C$304,Parametros!$B$4))</f>
        <v/>
      </c>
      <c r="N14" s="19" t="str">
        <f aca="false">IF($K14="","",SUMIFS($I$5:$I$304,$D$5:$D$304,$K14,$B$5:$B$304,3,$C$5:$C$304,Parametros!$B$4))</f>
        <v/>
      </c>
      <c r="O14" s="19" t="str">
        <f aca="false">IF($K14="","",SUMIFS($I$5:$I$304,$D$5:$D$304,$K14,$B$5:$B$304,4,$C$5:$C$304,Parametros!$B$4))</f>
        <v/>
      </c>
      <c r="P14" s="19" t="str">
        <f aca="false">IF($K14="","",SUMIFS($I$5:$I$304,$D$5:$D$304,$K14,$B$5:$B$304,5,$C$5:$C$304,Parametros!$B$4))</f>
        <v/>
      </c>
      <c r="Q14" s="19" t="str">
        <f aca="false">IF($K14="","",SUMIFS($I$5:$I$304,$D$5:$D$304,$K14,$B$5:$B$304,6,$C$5:$C$304,Parametros!$B$4))</f>
        <v/>
      </c>
      <c r="R14" s="19" t="str">
        <f aca="false">IF($K14="","",SUMIFS($I$5:$I$304,$D$5:$D$304,$K14,$B$5:$B$304,7,$C$5:$C$304,Parametros!$B$4))</f>
        <v/>
      </c>
      <c r="S14" s="19" t="str">
        <f aca="false">IF($K14="","",SUMIFS($I$5:$I$304,$D$5:$D$304,$K14,$B$5:$B$304,8,$C$5:$C$304,Parametros!$B$4))</f>
        <v/>
      </c>
      <c r="T14" s="19" t="str">
        <f aca="false">IF($K14="","",SUMIFS($I$5:$I$304,$D$5:$D$304,$K14,$B$5:$B$304,9,$C$5:$C$304,Parametros!$B$4))</f>
        <v/>
      </c>
      <c r="U14" s="19" t="str">
        <f aca="false">IF($K14="","",SUMIFS($I$5:$I$304,$D$5:$D$304,$K14,$B$5:$B$304,10,$C$5:$C$304,Parametros!$B$4))</f>
        <v/>
      </c>
      <c r="V14" s="19" t="str">
        <f aca="false">IF($K14="","",SUMIFS($I$5:$I$304,$D$5:$D$304,$K14,$B$5:$B$304,11,$C$5:$C$304,Parametros!$B$4))</f>
        <v/>
      </c>
      <c r="W14" s="19" t="str">
        <f aca="false">IF($K14="","",SUMIFS($I$5:$I$304,$D$5:$D$304,$K14,$B$5:$B$304,12,$C$5:$C$304,Parametros!$B$4))</f>
        <v/>
      </c>
      <c r="X14" s="24" t="str">
        <f aca="false">IF($K14="","",SUM(L14:W14))</f>
        <v/>
      </c>
    </row>
    <row r="15" customFormat="false" ht="15" hidden="false" customHeight="false" outlineLevel="0" collapsed="false">
      <c r="A15" s="16"/>
      <c r="B15" s="14" t="str">
        <f aca="false">IF(A15="","",MONTH(A15))</f>
        <v/>
      </c>
      <c r="C15" s="14" t="str">
        <f aca="false">IF(A15="","",YEAR(A15))</f>
        <v/>
      </c>
      <c r="D15" s="13"/>
      <c r="E15" s="13"/>
      <c r="F15" s="13"/>
      <c r="G15" s="17"/>
      <c r="H15" s="18"/>
      <c r="I15" s="19" t="str">
        <f aca="false">IF(G15="","",G15*H15)</f>
        <v/>
      </c>
      <c r="J15" s="2"/>
      <c r="K15" s="10" t="s">
        <v>173</v>
      </c>
      <c r="L15" s="25" t="n">
        <f aca="false">SUM(L5:L14)</f>
        <v>0</v>
      </c>
      <c r="M15" s="25" t="n">
        <f aca="false">SUM(M5:M14)</f>
        <v>0</v>
      </c>
      <c r="N15" s="25" t="n">
        <f aca="false">SUM(N5:N14)</f>
        <v>0</v>
      </c>
      <c r="O15" s="25" t="n">
        <f aca="false">SUM(O5:O14)</f>
        <v>0</v>
      </c>
      <c r="P15" s="25" t="n">
        <f aca="false">SUM(P5:P14)</f>
        <v>0</v>
      </c>
      <c r="Q15" s="25" t="n">
        <f aca="false">SUM(Q5:Q14)</f>
        <v>0</v>
      </c>
      <c r="R15" s="25" t="n">
        <f aca="false">SUM(R5:R14)</f>
        <v>0</v>
      </c>
      <c r="S15" s="25" t="n">
        <f aca="false">SUM(S5:S14)</f>
        <v>0</v>
      </c>
      <c r="T15" s="25" t="n">
        <f aca="false">SUM(T5:T14)</f>
        <v>0</v>
      </c>
      <c r="U15" s="25" t="n">
        <f aca="false">SUM(U5:U14)</f>
        <v>1107.5</v>
      </c>
      <c r="V15" s="25" t="n">
        <f aca="false">SUM(V5:V14)</f>
        <v>0</v>
      </c>
      <c r="W15" s="25" t="n">
        <f aca="false">SUM(W5:W14)</f>
        <v>0</v>
      </c>
      <c r="X15" s="25" t="n">
        <f aca="false">SUM(X5:X14)</f>
        <v>1107.5</v>
      </c>
    </row>
    <row r="16" customFormat="false" ht="15" hidden="false" customHeight="false" outlineLevel="0" collapsed="false">
      <c r="A16" s="16"/>
      <c r="B16" s="14" t="str">
        <f aca="false">IF(A16="","",MONTH(A16))</f>
        <v/>
      </c>
      <c r="C16" s="14" t="str">
        <f aca="false">IF(A16="","",YEAR(A16))</f>
        <v/>
      </c>
      <c r="D16" s="13"/>
      <c r="E16" s="13"/>
      <c r="F16" s="13"/>
      <c r="G16" s="17"/>
      <c r="H16" s="18"/>
      <c r="I16" s="19" t="str">
        <f aca="false">IF(G16="","",G16*H16)</f>
        <v/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customFormat="false" ht="15" hidden="false" customHeight="false" outlineLevel="0" collapsed="false">
      <c r="A17" s="16"/>
      <c r="B17" s="14" t="str">
        <f aca="false">IF(A17="","",MONTH(A17))</f>
        <v/>
      </c>
      <c r="C17" s="14" t="str">
        <f aca="false">IF(A17="","",YEAR(A17))</f>
        <v/>
      </c>
      <c r="D17" s="13"/>
      <c r="E17" s="13"/>
      <c r="F17" s="13"/>
      <c r="G17" s="17"/>
      <c r="H17" s="18"/>
      <c r="I17" s="19" t="str">
        <f aca="false">IF(G17="","",G17*H17)</f>
        <v/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customFormat="false" ht="15" hidden="false" customHeight="false" outlineLevel="0" collapsed="false">
      <c r="A18" s="16"/>
      <c r="B18" s="14" t="str">
        <f aca="false">IF(A18="","",MONTH(A18))</f>
        <v/>
      </c>
      <c r="C18" s="14" t="str">
        <f aca="false">IF(A18="","",YEAR(A18))</f>
        <v/>
      </c>
      <c r="D18" s="13"/>
      <c r="E18" s="13"/>
      <c r="F18" s="13"/>
      <c r="G18" s="17"/>
      <c r="H18" s="18"/>
      <c r="I18" s="19" t="str">
        <f aca="false">IF(G18="","",G18*H18)</f>
        <v/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customFormat="false" ht="15" hidden="false" customHeight="false" outlineLevel="0" collapsed="false">
      <c r="A19" s="16"/>
      <c r="B19" s="14" t="str">
        <f aca="false">IF(A19="","",MONTH(A19))</f>
        <v/>
      </c>
      <c r="C19" s="14" t="str">
        <f aca="false">IF(A19="","",YEAR(A19))</f>
        <v/>
      </c>
      <c r="D19" s="13"/>
      <c r="E19" s="13"/>
      <c r="F19" s="13"/>
      <c r="G19" s="17"/>
      <c r="H19" s="18"/>
      <c r="I19" s="19" t="str">
        <f aca="false">IF(G19="","",G19*H19)</f>
        <v/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customFormat="false" ht="15" hidden="false" customHeight="false" outlineLevel="0" collapsed="false">
      <c r="A20" s="16"/>
      <c r="B20" s="14" t="str">
        <f aca="false">IF(A20="","",MONTH(A20))</f>
        <v/>
      </c>
      <c r="C20" s="14" t="str">
        <f aca="false">IF(A20="","",YEAR(A20))</f>
        <v/>
      </c>
      <c r="D20" s="13"/>
      <c r="E20" s="13"/>
      <c r="F20" s="13"/>
      <c r="G20" s="17"/>
      <c r="H20" s="18"/>
      <c r="I20" s="19" t="str">
        <f aca="false">IF(G20="","",G20*H20)</f>
        <v/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customFormat="false" ht="15" hidden="false" customHeight="false" outlineLevel="0" collapsed="false">
      <c r="A21" s="16"/>
      <c r="B21" s="14" t="str">
        <f aca="false">IF(A21="","",MONTH(A21))</f>
        <v/>
      </c>
      <c r="C21" s="14" t="str">
        <f aca="false">IF(A21="","",YEAR(A21))</f>
        <v/>
      </c>
      <c r="D21" s="13"/>
      <c r="E21" s="13"/>
      <c r="F21" s="13"/>
      <c r="G21" s="17"/>
      <c r="H21" s="18"/>
      <c r="I21" s="19" t="str">
        <f aca="false">IF(G21="","",G21*H21)</f>
        <v/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customFormat="false" ht="15" hidden="false" customHeight="false" outlineLevel="0" collapsed="false">
      <c r="A22" s="16"/>
      <c r="B22" s="14" t="str">
        <f aca="false">IF(A22="","",MONTH(A22))</f>
        <v/>
      </c>
      <c r="C22" s="14" t="str">
        <f aca="false">IF(A22="","",YEAR(A22))</f>
        <v/>
      </c>
      <c r="D22" s="13"/>
      <c r="E22" s="13"/>
      <c r="F22" s="13"/>
      <c r="G22" s="17"/>
      <c r="H22" s="18"/>
      <c r="I22" s="19" t="str">
        <f aca="false">IF(G22="","",G22*H22)</f>
        <v/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customFormat="false" ht="15" hidden="false" customHeight="false" outlineLevel="0" collapsed="false">
      <c r="A23" s="16"/>
      <c r="B23" s="14" t="str">
        <f aca="false">IF(A23="","",MONTH(A23))</f>
        <v/>
      </c>
      <c r="C23" s="14" t="str">
        <f aca="false">IF(A23="","",YEAR(A23))</f>
        <v/>
      </c>
      <c r="D23" s="13"/>
      <c r="E23" s="13"/>
      <c r="F23" s="13"/>
      <c r="G23" s="17"/>
      <c r="H23" s="18"/>
      <c r="I23" s="19" t="str">
        <f aca="false">IF(G23="","",G23*H23)</f>
        <v/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customFormat="false" ht="15" hidden="false" customHeight="false" outlineLevel="0" collapsed="false">
      <c r="A24" s="16"/>
      <c r="B24" s="14" t="str">
        <f aca="false">IF(A24="","",MONTH(A24))</f>
        <v/>
      </c>
      <c r="C24" s="14" t="str">
        <f aca="false">IF(A24="","",YEAR(A24))</f>
        <v/>
      </c>
      <c r="D24" s="13"/>
      <c r="E24" s="13"/>
      <c r="F24" s="13"/>
      <c r="G24" s="17"/>
      <c r="H24" s="18"/>
      <c r="I24" s="19" t="str">
        <f aca="false">IF(G24="","",G24*H24)</f>
        <v/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customFormat="false" ht="15" hidden="false" customHeight="false" outlineLevel="0" collapsed="false">
      <c r="A25" s="16"/>
      <c r="B25" s="14" t="str">
        <f aca="false">IF(A25="","",MONTH(A25))</f>
        <v/>
      </c>
      <c r="C25" s="14" t="str">
        <f aca="false">IF(A25="","",YEAR(A25))</f>
        <v/>
      </c>
      <c r="D25" s="13"/>
      <c r="E25" s="13"/>
      <c r="F25" s="13"/>
      <c r="G25" s="17"/>
      <c r="H25" s="18"/>
      <c r="I25" s="19" t="str">
        <f aca="false">IF(G25="","",G25*H25)</f>
        <v/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customFormat="false" ht="15" hidden="false" customHeight="false" outlineLevel="0" collapsed="false">
      <c r="A26" s="16"/>
      <c r="B26" s="14" t="str">
        <f aca="false">IF(A26="","",MONTH(A26))</f>
        <v/>
      </c>
      <c r="C26" s="14" t="str">
        <f aca="false">IF(A26="","",YEAR(A26))</f>
        <v/>
      </c>
      <c r="D26" s="13"/>
      <c r="E26" s="13"/>
      <c r="F26" s="13"/>
      <c r="G26" s="17"/>
      <c r="H26" s="18"/>
      <c r="I26" s="19" t="str">
        <f aca="false">IF(G26="","",G26*H26)</f>
        <v/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customFormat="false" ht="15" hidden="false" customHeight="false" outlineLevel="0" collapsed="false">
      <c r="A27" s="16"/>
      <c r="B27" s="14" t="str">
        <f aca="false">IF(A27="","",MONTH(A27))</f>
        <v/>
      </c>
      <c r="C27" s="14" t="str">
        <f aca="false">IF(A27="","",YEAR(A27))</f>
        <v/>
      </c>
      <c r="D27" s="13"/>
      <c r="E27" s="13"/>
      <c r="F27" s="13"/>
      <c r="G27" s="17"/>
      <c r="H27" s="18"/>
      <c r="I27" s="19" t="str">
        <f aca="false">IF(G27="","",G27*H27)</f>
        <v/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customFormat="false" ht="15" hidden="false" customHeight="false" outlineLevel="0" collapsed="false">
      <c r="A28" s="16"/>
      <c r="B28" s="14" t="str">
        <f aca="false">IF(A28="","",MONTH(A28))</f>
        <v/>
      </c>
      <c r="C28" s="14" t="str">
        <f aca="false">IF(A28="","",YEAR(A28))</f>
        <v/>
      </c>
      <c r="D28" s="13"/>
      <c r="E28" s="13"/>
      <c r="F28" s="13"/>
      <c r="G28" s="17"/>
      <c r="H28" s="18"/>
      <c r="I28" s="19" t="str">
        <f aca="false">IF(G28="","",G28*H28)</f>
        <v/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customFormat="false" ht="15" hidden="false" customHeight="false" outlineLevel="0" collapsed="false">
      <c r="A29" s="16"/>
      <c r="B29" s="14" t="str">
        <f aca="false">IF(A29="","",MONTH(A29))</f>
        <v/>
      </c>
      <c r="C29" s="14" t="str">
        <f aca="false">IF(A29="","",YEAR(A29))</f>
        <v/>
      </c>
      <c r="D29" s="13"/>
      <c r="E29" s="13"/>
      <c r="F29" s="13"/>
      <c r="G29" s="17"/>
      <c r="H29" s="18"/>
      <c r="I29" s="19" t="str">
        <f aca="false">IF(G29="","",G29*H29)</f>
        <v/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customFormat="false" ht="15" hidden="false" customHeight="false" outlineLevel="0" collapsed="false">
      <c r="A30" s="16"/>
      <c r="B30" s="14" t="str">
        <f aca="false">IF(A30="","",MONTH(A30))</f>
        <v/>
      </c>
      <c r="C30" s="14" t="str">
        <f aca="false">IF(A30="","",YEAR(A30))</f>
        <v/>
      </c>
      <c r="D30" s="13"/>
      <c r="E30" s="13"/>
      <c r="F30" s="13"/>
      <c r="G30" s="17"/>
      <c r="H30" s="18"/>
      <c r="I30" s="19" t="str">
        <f aca="false">IF(G30="","",G30*H30)</f>
        <v/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customFormat="false" ht="15" hidden="false" customHeight="false" outlineLevel="0" collapsed="false">
      <c r="A31" s="16"/>
      <c r="B31" s="14" t="str">
        <f aca="false">IF(A31="","",MONTH(A31))</f>
        <v/>
      </c>
      <c r="C31" s="14" t="str">
        <f aca="false">IF(A31="","",YEAR(A31))</f>
        <v/>
      </c>
      <c r="D31" s="13"/>
      <c r="E31" s="13"/>
      <c r="F31" s="13"/>
      <c r="G31" s="17"/>
      <c r="H31" s="18"/>
      <c r="I31" s="19" t="str">
        <f aca="false">IF(G31="","",G31*H31)</f>
        <v/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customFormat="false" ht="15" hidden="false" customHeight="false" outlineLevel="0" collapsed="false">
      <c r="A32" s="16"/>
      <c r="B32" s="14" t="str">
        <f aca="false">IF(A32="","",MONTH(A32))</f>
        <v/>
      </c>
      <c r="C32" s="14" t="str">
        <f aca="false">IF(A32="","",YEAR(A32))</f>
        <v/>
      </c>
      <c r="D32" s="13"/>
      <c r="E32" s="13"/>
      <c r="F32" s="13"/>
      <c r="G32" s="17"/>
      <c r="H32" s="18"/>
      <c r="I32" s="19" t="str">
        <f aca="false">IF(G32="","",G32*H32)</f>
        <v/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customFormat="false" ht="15" hidden="false" customHeight="false" outlineLevel="0" collapsed="false">
      <c r="A33" s="16"/>
      <c r="B33" s="14" t="str">
        <f aca="false">IF(A33="","",MONTH(A33))</f>
        <v/>
      </c>
      <c r="C33" s="14" t="str">
        <f aca="false">IF(A33="","",YEAR(A33))</f>
        <v/>
      </c>
      <c r="D33" s="13"/>
      <c r="E33" s="13"/>
      <c r="F33" s="13"/>
      <c r="G33" s="17"/>
      <c r="H33" s="18"/>
      <c r="I33" s="19" t="str">
        <f aca="false">IF(G33="","",G33*H33)</f>
        <v/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customFormat="false" ht="15" hidden="false" customHeight="false" outlineLevel="0" collapsed="false">
      <c r="A34" s="16"/>
      <c r="B34" s="14" t="str">
        <f aca="false">IF(A34="","",MONTH(A34))</f>
        <v/>
      </c>
      <c r="C34" s="14" t="str">
        <f aca="false">IF(A34="","",YEAR(A34))</f>
        <v/>
      </c>
      <c r="D34" s="13"/>
      <c r="E34" s="13"/>
      <c r="F34" s="13"/>
      <c r="G34" s="17"/>
      <c r="H34" s="18"/>
      <c r="I34" s="19" t="str">
        <f aca="false">IF(G34="","",G34*H34)</f>
        <v/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customFormat="false" ht="15" hidden="false" customHeight="false" outlineLevel="0" collapsed="false">
      <c r="A35" s="16"/>
      <c r="B35" s="14" t="str">
        <f aca="false">IF(A35="","",MONTH(A35))</f>
        <v/>
      </c>
      <c r="C35" s="14" t="str">
        <f aca="false">IF(A35="","",YEAR(A35))</f>
        <v/>
      </c>
      <c r="D35" s="13"/>
      <c r="E35" s="13"/>
      <c r="F35" s="13"/>
      <c r="G35" s="17"/>
      <c r="H35" s="18"/>
      <c r="I35" s="19" t="str">
        <f aca="false">IF(G35="","",G35*H35)</f>
        <v/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customFormat="false" ht="15" hidden="false" customHeight="false" outlineLevel="0" collapsed="false">
      <c r="A36" s="16"/>
      <c r="B36" s="14" t="str">
        <f aca="false">IF(A36="","",MONTH(A36))</f>
        <v/>
      </c>
      <c r="C36" s="14" t="str">
        <f aca="false">IF(A36="","",YEAR(A36))</f>
        <v/>
      </c>
      <c r="D36" s="13"/>
      <c r="E36" s="13"/>
      <c r="F36" s="13"/>
      <c r="G36" s="17"/>
      <c r="H36" s="18"/>
      <c r="I36" s="19" t="str">
        <f aca="false">IF(G36="","",G36*H36)</f>
        <v/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customFormat="false" ht="15" hidden="false" customHeight="false" outlineLevel="0" collapsed="false">
      <c r="A37" s="16"/>
      <c r="B37" s="14" t="str">
        <f aca="false">IF(A37="","",MONTH(A37))</f>
        <v/>
      </c>
      <c r="C37" s="14" t="str">
        <f aca="false">IF(A37="","",YEAR(A37))</f>
        <v/>
      </c>
      <c r="D37" s="13"/>
      <c r="E37" s="13"/>
      <c r="F37" s="13"/>
      <c r="G37" s="17"/>
      <c r="H37" s="18"/>
      <c r="I37" s="19" t="str">
        <f aca="false">IF(G37="","",G37*H37)</f>
        <v/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customFormat="false" ht="15" hidden="false" customHeight="false" outlineLevel="0" collapsed="false">
      <c r="A38" s="16"/>
      <c r="B38" s="14" t="str">
        <f aca="false">IF(A38="","",MONTH(A38))</f>
        <v/>
      </c>
      <c r="C38" s="14" t="str">
        <f aca="false">IF(A38="","",YEAR(A38))</f>
        <v/>
      </c>
      <c r="D38" s="13"/>
      <c r="E38" s="13"/>
      <c r="F38" s="13"/>
      <c r="G38" s="17"/>
      <c r="H38" s="18"/>
      <c r="I38" s="19" t="str">
        <f aca="false">IF(G38="","",G38*H38)</f>
        <v/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customFormat="false" ht="15" hidden="false" customHeight="false" outlineLevel="0" collapsed="false">
      <c r="A39" s="16"/>
      <c r="B39" s="14" t="str">
        <f aca="false">IF(A39="","",MONTH(A39))</f>
        <v/>
      </c>
      <c r="C39" s="14" t="str">
        <f aca="false">IF(A39="","",YEAR(A39))</f>
        <v/>
      </c>
      <c r="D39" s="13"/>
      <c r="E39" s="13"/>
      <c r="F39" s="13"/>
      <c r="G39" s="17"/>
      <c r="H39" s="18"/>
      <c r="I39" s="19" t="str">
        <f aca="false">IF(G39="","",G39*H39)</f>
        <v/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customFormat="false" ht="15" hidden="false" customHeight="false" outlineLevel="0" collapsed="false">
      <c r="A40" s="16"/>
      <c r="B40" s="14" t="str">
        <f aca="false">IF(A40="","",MONTH(A40))</f>
        <v/>
      </c>
      <c r="C40" s="14" t="str">
        <f aca="false">IF(A40="","",YEAR(A40))</f>
        <v/>
      </c>
      <c r="D40" s="13"/>
      <c r="E40" s="13"/>
      <c r="F40" s="13"/>
      <c r="G40" s="17"/>
      <c r="H40" s="18"/>
      <c r="I40" s="19" t="str">
        <f aca="false">IF(G40="","",G40*H40)</f>
        <v/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customFormat="false" ht="15" hidden="false" customHeight="false" outlineLevel="0" collapsed="false">
      <c r="A41" s="16"/>
      <c r="B41" s="14" t="str">
        <f aca="false">IF(A41="","",MONTH(A41))</f>
        <v/>
      </c>
      <c r="C41" s="14" t="str">
        <f aca="false">IF(A41="","",YEAR(A41))</f>
        <v/>
      </c>
      <c r="D41" s="13"/>
      <c r="E41" s="13"/>
      <c r="F41" s="13"/>
      <c r="G41" s="17"/>
      <c r="H41" s="18"/>
      <c r="I41" s="19" t="str">
        <f aca="false">IF(G41="","",G41*H41)</f>
        <v/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customFormat="false" ht="15" hidden="false" customHeight="false" outlineLevel="0" collapsed="false">
      <c r="A42" s="16"/>
      <c r="B42" s="14" t="str">
        <f aca="false">IF(A42="","",MONTH(A42))</f>
        <v/>
      </c>
      <c r="C42" s="14" t="str">
        <f aca="false">IF(A42="","",YEAR(A42))</f>
        <v/>
      </c>
      <c r="D42" s="13"/>
      <c r="E42" s="13"/>
      <c r="F42" s="13"/>
      <c r="G42" s="17"/>
      <c r="H42" s="18"/>
      <c r="I42" s="19" t="str">
        <f aca="false">IF(G42="","",G42*H42)</f>
        <v/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customFormat="false" ht="15" hidden="false" customHeight="false" outlineLevel="0" collapsed="false">
      <c r="A43" s="16"/>
      <c r="B43" s="14" t="str">
        <f aca="false">IF(A43="","",MONTH(A43))</f>
        <v/>
      </c>
      <c r="C43" s="14" t="str">
        <f aca="false">IF(A43="","",YEAR(A43))</f>
        <v/>
      </c>
      <c r="D43" s="13"/>
      <c r="E43" s="13"/>
      <c r="F43" s="13"/>
      <c r="G43" s="17"/>
      <c r="H43" s="18"/>
      <c r="I43" s="19" t="str">
        <f aca="false">IF(G43="","",G43*H43)</f>
        <v/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customFormat="false" ht="15" hidden="false" customHeight="false" outlineLevel="0" collapsed="false">
      <c r="A44" s="16"/>
      <c r="B44" s="14" t="str">
        <f aca="false">IF(A44="","",MONTH(A44))</f>
        <v/>
      </c>
      <c r="C44" s="14" t="str">
        <f aca="false">IF(A44="","",YEAR(A44))</f>
        <v/>
      </c>
      <c r="D44" s="13"/>
      <c r="E44" s="13"/>
      <c r="F44" s="13"/>
      <c r="G44" s="17"/>
      <c r="H44" s="18"/>
      <c r="I44" s="19" t="str">
        <f aca="false">IF(G44="","",G44*H44)</f>
        <v/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customFormat="false" ht="15" hidden="false" customHeight="false" outlineLevel="0" collapsed="false">
      <c r="A45" s="16"/>
      <c r="B45" s="14" t="str">
        <f aca="false">IF(A45="","",MONTH(A45))</f>
        <v/>
      </c>
      <c r="C45" s="14" t="str">
        <f aca="false">IF(A45="","",YEAR(A45))</f>
        <v/>
      </c>
      <c r="D45" s="13"/>
      <c r="E45" s="13"/>
      <c r="F45" s="13"/>
      <c r="G45" s="17"/>
      <c r="H45" s="18"/>
      <c r="I45" s="19" t="str">
        <f aca="false">IF(G45="","",G45*H45)</f>
        <v/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customFormat="false" ht="15" hidden="false" customHeight="false" outlineLevel="0" collapsed="false">
      <c r="A46" s="16"/>
      <c r="B46" s="14" t="str">
        <f aca="false">IF(A46="","",MONTH(A46))</f>
        <v/>
      </c>
      <c r="C46" s="14" t="str">
        <f aca="false">IF(A46="","",YEAR(A46))</f>
        <v/>
      </c>
      <c r="D46" s="13"/>
      <c r="E46" s="13"/>
      <c r="F46" s="13"/>
      <c r="G46" s="17"/>
      <c r="H46" s="18"/>
      <c r="I46" s="19" t="str">
        <f aca="false">IF(G46="","",G46*H46)</f>
        <v/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customFormat="false" ht="15" hidden="false" customHeight="false" outlineLevel="0" collapsed="false">
      <c r="A47" s="16"/>
      <c r="B47" s="14" t="str">
        <f aca="false">IF(A47="","",MONTH(A47))</f>
        <v/>
      </c>
      <c r="C47" s="14" t="str">
        <f aca="false">IF(A47="","",YEAR(A47))</f>
        <v/>
      </c>
      <c r="D47" s="13"/>
      <c r="E47" s="13"/>
      <c r="F47" s="13"/>
      <c r="G47" s="17"/>
      <c r="H47" s="18"/>
      <c r="I47" s="19" t="str">
        <f aca="false">IF(G47="","",G47*H47)</f>
        <v/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customFormat="false" ht="15" hidden="false" customHeight="false" outlineLevel="0" collapsed="false">
      <c r="A48" s="16"/>
      <c r="B48" s="14" t="str">
        <f aca="false">IF(A48="","",MONTH(A48))</f>
        <v/>
      </c>
      <c r="C48" s="14" t="str">
        <f aca="false">IF(A48="","",YEAR(A48))</f>
        <v/>
      </c>
      <c r="D48" s="13"/>
      <c r="E48" s="13"/>
      <c r="F48" s="13"/>
      <c r="G48" s="17"/>
      <c r="H48" s="18"/>
      <c r="I48" s="19" t="str">
        <f aca="false">IF(G48="","",G48*H48)</f>
        <v/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customFormat="false" ht="15" hidden="false" customHeight="false" outlineLevel="0" collapsed="false">
      <c r="A49" s="16"/>
      <c r="B49" s="14" t="str">
        <f aca="false">IF(A49="","",MONTH(A49))</f>
        <v/>
      </c>
      <c r="C49" s="14" t="str">
        <f aca="false">IF(A49="","",YEAR(A49))</f>
        <v/>
      </c>
      <c r="D49" s="13"/>
      <c r="E49" s="13"/>
      <c r="F49" s="13"/>
      <c r="G49" s="17"/>
      <c r="H49" s="18"/>
      <c r="I49" s="19" t="str">
        <f aca="false">IF(G49="","",G49*H49)</f>
        <v/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customFormat="false" ht="15" hidden="false" customHeight="false" outlineLevel="0" collapsed="false">
      <c r="A50" s="16"/>
      <c r="B50" s="14" t="str">
        <f aca="false">IF(A50="","",MONTH(A50))</f>
        <v/>
      </c>
      <c r="C50" s="14" t="str">
        <f aca="false">IF(A50="","",YEAR(A50))</f>
        <v/>
      </c>
      <c r="D50" s="13"/>
      <c r="E50" s="13"/>
      <c r="F50" s="13"/>
      <c r="G50" s="17"/>
      <c r="H50" s="18"/>
      <c r="I50" s="19" t="str">
        <f aca="false">IF(G50="","",G50*H50)</f>
        <v/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customFormat="false" ht="15" hidden="false" customHeight="false" outlineLevel="0" collapsed="false">
      <c r="A51" s="16"/>
      <c r="B51" s="14" t="str">
        <f aca="false">IF(A51="","",MONTH(A51))</f>
        <v/>
      </c>
      <c r="C51" s="14" t="str">
        <f aca="false">IF(A51="","",YEAR(A51))</f>
        <v/>
      </c>
      <c r="D51" s="13"/>
      <c r="E51" s="13"/>
      <c r="F51" s="13"/>
      <c r="G51" s="17"/>
      <c r="H51" s="18"/>
      <c r="I51" s="19" t="str">
        <f aca="false">IF(G51="","",G51*H51)</f>
        <v/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customFormat="false" ht="15" hidden="false" customHeight="false" outlineLevel="0" collapsed="false">
      <c r="A52" s="16"/>
      <c r="B52" s="14" t="str">
        <f aca="false">IF(A52="","",MONTH(A52))</f>
        <v/>
      </c>
      <c r="C52" s="14" t="str">
        <f aca="false">IF(A52="","",YEAR(A52))</f>
        <v/>
      </c>
      <c r="D52" s="13"/>
      <c r="E52" s="13"/>
      <c r="F52" s="13"/>
      <c r="G52" s="17"/>
      <c r="H52" s="18"/>
      <c r="I52" s="19" t="str">
        <f aca="false">IF(G52="","",G52*H52)</f>
        <v/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customFormat="false" ht="15" hidden="false" customHeight="false" outlineLevel="0" collapsed="false">
      <c r="A53" s="16"/>
      <c r="B53" s="14" t="str">
        <f aca="false">IF(A53="","",MONTH(A53))</f>
        <v/>
      </c>
      <c r="C53" s="14" t="str">
        <f aca="false">IF(A53="","",YEAR(A53))</f>
        <v/>
      </c>
      <c r="D53" s="13"/>
      <c r="E53" s="13"/>
      <c r="F53" s="13"/>
      <c r="G53" s="17"/>
      <c r="H53" s="18"/>
      <c r="I53" s="19" t="str">
        <f aca="false">IF(G53="","",G53*H53)</f>
        <v/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customFormat="false" ht="15" hidden="false" customHeight="false" outlineLevel="0" collapsed="false">
      <c r="A54" s="16"/>
      <c r="B54" s="14" t="str">
        <f aca="false">IF(A54="","",MONTH(A54))</f>
        <v/>
      </c>
      <c r="C54" s="14" t="str">
        <f aca="false">IF(A54="","",YEAR(A54))</f>
        <v/>
      </c>
      <c r="D54" s="13"/>
      <c r="E54" s="13"/>
      <c r="F54" s="13"/>
      <c r="G54" s="17"/>
      <c r="H54" s="18"/>
      <c r="I54" s="19" t="str">
        <f aca="false">IF(G54="","",G54*H54)</f>
        <v/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customFormat="false" ht="15" hidden="false" customHeight="false" outlineLevel="0" collapsed="false">
      <c r="A55" s="16"/>
      <c r="B55" s="14" t="str">
        <f aca="false">IF(A55="","",MONTH(A55))</f>
        <v/>
      </c>
      <c r="C55" s="14" t="str">
        <f aca="false">IF(A55="","",YEAR(A55))</f>
        <v/>
      </c>
      <c r="D55" s="13"/>
      <c r="E55" s="13"/>
      <c r="F55" s="13"/>
      <c r="G55" s="17"/>
      <c r="H55" s="18"/>
      <c r="I55" s="19" t="str">
        <f aca="false">IF(G55="","",G55*H55)</f>
        <v/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customFormat="false" ht="15" hidden="false" customHeight="false" outlineLevel="0" collapsed="false">
      <c r="A56" s="16"/>
      <c r="B56" s="14" t="str">
        <f aca="false">IF(A56="","",MONTH(A56))</f>
        <v/>
      </c>
      <c r="C56" s="14" t="str">
        <f aca="false">IF(A56="","",YEAR(A56))</f>
        <v/>
      </c>
      <c r="D56" s="13"/>
      <c r="E56" s="13"/>
      <c r="F56" s="13"/>
      <c r="G56" s="17"/>
      <c r="H56" s="18"/>
      <c r="I56" s="19" t="str">
        <f aca="false">IF(G56="","",G56*H56)</f>
        <v/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customFormat="false" ht="15" hidden="false" customHeight="false" outlineLevel="0" collapsed="false">
      <c r="A57" s="16"/>
      <c r="B57" s="14" t="str">
        <f aca="false">IF(A57="","",MONTH(A57))</f>
        <v/>
      </c>
      <c r="C57" s="14" t="str">
        <f aca="false">IF(A57="","",YEAR(A57))</f>
        <v/>
      </c>
      <c r="D57" s="13"/>
      <c r="E57" s="13"/>
      <c r="F57" s="13"/>
      <c r="G57" s="17"/>
      <c r="H57" s="18"/>
      <c r="I57" s="19" t="str">
        <f aca="false">IF(G57="","",G57*H57)</f>
        <v/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customFormat="false" ht="15" hidden="false" customHeight="false" outlineLevel="0" collapsed="false">
      <c r="A58" s="16"/>
      <c r="B58" s="14" t="str">
        <f aca="false">IF(A58="","",MONTH(A58))</f>
        <v/>
      </c>
      <c r="C58" s="14" t="str">
        <f aca="false">IF(A58="","",YEAR(A58))</f>
        <v/>
      </c>
      <c r="D58" s="13"/>
      <c r="E58" s="13"/>
      <c r="F58" s="13"/>
      <c r="G58" s="17"/>
      <c r="H58" s="18"/>
      <c r="I58" s="19" t="str">
        <f aca="false">IF(G58="","",G58*H58)</f>
        <v/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customFormat="false" ht="15" hidden="false" customHeight="false" outlineLevel="0" collapsed="false">
      <c r="A59" s="16"/>
      <c r="B59" s="14" t="str">
        <f aca="false">IF(A59="","",MONTH(A59))</f>
        <v/>
      </c>
      <c r="C59" s="14" t="str">
        <f aca="false">IF(A59="","",YEAR(A59))</f>
        <v/>
      </c>
      <c r="D59" s="13"/>
      <c r="E59" s="13"/>
      <c r="F59" s="13"/>
      <c r="G59" s="17"/>
      <c r="H59" s="18"/>
      <c r="I59" s="19" t="str">
        <f aca="false">IF(G59="","",G59*H59)</f>
        <v/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customFormat="false" ht="15" hidden="false" customHeight="false" outlineLevel="0" collapsed="false">
      <c r="A60" s="16"/>
      <c r="B60" s="14" t="str">
        <f aca="false">IF(A60="","",MONTH(A60))</f>
        <v/>
      </c>
      <c r="C60" s="14" t="str">
        <f aca="false">IF(A60="","",YEAR(A60))</f>
        <v/>
      </c>
      <c r="D60" s="13"/>
      <c r="E60" s="13"/>
      <c r="F60" s="13"/>
      <c r="G60" s="17"/>
      <c r="H60" s="18"/>
      <c r="I60" s="19" t="str">
        <f aca="false">IF(G60="","",G60*H60)</f>
        <v/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customFormat="false" ht="15" hidden="false" customHeight="false" outlineLevel="0" collapsed="false">
      <c r="A61" s="16"/>
      <c r="B61" s="14" t="str">
        <f aca="false">IF(A61="","",MONTH(A61))</f>
        <v/>
      </c>
      <c r="C61" s="14" t="str">
        <f aca="false">IF(A61="","",YEAR(A61))</f>
        <v/>
      </c>
      <c r="D61" s="13"/>
      <c r="E61" s="13"/>
      <c r="F61" s="13"/>
      <c r="G61" s="17"/>
      <c r="H61" s="18"/>
      <c r="I61" s="19" t="str">
        <f aca="false">IF(G61="","",G61*H61)</f>
        <v/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customFormat="false" ht="15" hidden="false" customHeight="false" outlineLevel="0" collapsed="false">
      <c r="A62" s="16"/>
      <c r="B62" s="14" t="str">
        <f aca="false">IF(A62="","",MONTH(A62))</f>
        <v/>
      </c>
      <c r="C62" s="14" t="str">
        <f aca="false">IF(A62="","",YEAR(A62))</f>
        <v/>
      </c>
      <c r="D62" s="13"/>
      <c r="E62" s="13"/>
      <c r="F62" s="13"/>
      <c r="G62" s="17"/>
      <c r="H62" s="18"/>
      <c r="I62" s="19" t="str">
        <f aca="false">IF(G62="","",G62*H62)</f>
        <v/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customFormat="false" ht="15" hidden="false" customHeight="false" outlineLevel="0" collapsed="false">
      <c r="A63" s="16"/>
      <c r="B63" s="14" t="str">
        <f aca="false">IF(A63="","",MONTH(A63))</f>
        <v/>
      </c>
      <c r="C63" s="14" t="str">
        <f aca="false">IF(A63="","",YEAR(A63))</f>
        <v/>
      </c>
      <c r="D63" s="13"/>
      <c r="E63" s="13"/>
      <c r="F63" s="13"/>
      <c r="G63" s="17"/>
      <c r="H63" s="18"/>
      <c r="I63" s="19" t="str">
        <f aca="false">IF(G63="","",G63*H63)</f>
        <v/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customFormat="false" ht="15" hidden="false" customHeight="false" outlineLevel="0" collapsed="false">
      <c r="A64" s="16"/>
      <c r="B64" s="14" t="str">
        <f aca="false">IF(A64="","",MONTH(A64))</f>
        <v/>
      </c>
      <c r="C64" s="14" t="str">
        <f aca="false">IF(A64="","",YEAR(A64))</f>
        <v/>
      </c>
      <c r="D64" s="13"/>
      <c r="E64" s="13"/>
      <c r="F64" s="13"/>
      <c r="G64" s="17"/>
      <c r="H64" s="18"/>
      <c r="I64" s="19" t="str">
        <f aca="false">IF(G64="","",G64*H64)</f>
        <v/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customFormat="false" ht="15" hidden="false" customHeight="false" outlineLevel="0" collapsed="false">
      <c r="A65" s="16"/>
      <c r="B65" s="14" t="str">
        <f aca="false">IF(A65="","",MONTH(A65))</f>
        <v/>
      </c>
      <c r="C65" s="14" t="str">
        <f aca="false">IF(A65="","",YEAR(A65))</f>
        <v/>
      </c>
      <c r="D65" s="13"/>
      <c r="E65" s="13"/>
      <c r="F65" s="13"/>
      <c r="G65" s="17"/>
      <c r="H65" s="18"/>
      <c r="I65" s="19" t="str">
        <f aca="false">IF(G65="","",G65*H65)</f>
        <v/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customFormat="false" ht="15" hidden="false" customHeight="false" outlineLevel="0" collapsed="false">
      <c r="A66" s="16"/>
      <c r="B66" s="14" t="str">
        <f aca="false">IF(A66="","",MONTH(A66))</f>
        <v/>
      </c>
      <c r="C66" s="14" t="str">
        <f aca="false">IF(A66="","",YEAR(A66))</f>
        <v/>
      </c>
      <c r="D66" s="13"/>
      <c r="E66" s="13"/>
      <c r="F66" s="13"/>
      <c r="G66" s="17"/>
      <c r="H66" s="18"/>
      <c r="I66" s="19" t="str">
        <f aca="false">IF(G66="","",G66*H66)</f>
        <v/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customFormat="false" ht="15" hidden="false" customHeight="false" outlineLevel="0" collapsed="false">
      <c r="A67" s="16"/>
      <c r="B67" s="14" t="str">
        <f aca="false">IF(A67="","",MONTH(A67))</f>
        <v/>
      </c>
      <c r="C67" s="14" t="str">
        <f aca="false">IF(A67="","",YEAR(A67))</f>
        <v/>
      </c>
      <c r="D67" s="13"/>
      <c r="E67" s="13"/>
      <c r="F67" s="13"/>
      <c r="G67" s="17"/>
      <c r="H67" s="18"/>
      <c r="I67" s="19" t="str">
        <f aca="false">IF(G67="","",G67*H67)</f>
        <v/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customFormat="false" ht="15" hidden="false" customHeight="false" outlineLevel="0" collapsed="false">
      <c r="A68" s="16"/>
      <c r="B68" s="14" t="str">
        <f aca="false">IF(A68="","",MONTH(A68))</f>
        <v/>
      </c>
      <c r="C68" s="14" t="str">
        <f aca="false">IF(A68="","",YEAR(A68))</f>
        <v/>
      </c>
      <c r="D68" s="13"/>
      <c r="E68" s="13"/>
      <c r="F68" s="13"/>
      <c r="G68" s="17"/>
      <c r="H68" s="18"/>
      <c r="I68" s="19" t="str">
        <f aca="false">IF(G68="","",G68*H68)</f>
        <v/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customFormat="false" ht="15" hidden="false" customHeight="false" outlineLevel="0" collapsed="false">
      <c r="A69" s="16"/>
      <c r="B69" s="14" t="str">
        <f aca="false">IF(A69="","",MONTH(A69))</f>
        <v/>
      </c>
      <c r="C69" s="14" t="str">
        <f aca="false">IF(A69="","",YEAR(A69))</f>
        <v/>
      </c>
      <c r="D69" s="13"/>
      <c r="E69" s="13"/>
      <c r="F69" s="13"/>
      <c r="G69" s="17"/>
      <c r="H69" s="18"/>
      <c r="I69" s="19" t="str">
        <f aca="false">IF(G69="","",G69*H69)</f>
        <v/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customFormat="false" ht="15" hidden="false" customHeight="false" outlineLevel="0" collapsed="false">
      <c r="A70" s="16"/>
      <c r="B70" s="14" t="str">
        <f aca="false">IF(A70="","",MONTH(A70))</f>
        <v/>
      </c>
      <c r="C70" s="14" t="str">
        <f aca="false">IF(A70="","",YEAR(A70))</f>
        <v/>
      </c>
      <c r="D70" s="13"/>
      <c r="E70" s="13"/>
      <c r="F70" s="13"/>
      <c r="G70" s="17"/>
      <c r="H70" s="18"/>
      <c r="I70" s="19" t="str">
        <f aca="false">IF(G70="","",G70*H70)</f>
        <v/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customFormat="false" ht="15" hidden="false" customHeight="false" outlineLevel="0" collapsed="false">
      <c r="A71" s="16"/>
      <c r="B71" s="14" t="str">
        <f aca="false">IF(A71="","",MONTH(A71))</f>
        <v/>
      </c>
      <c r="C71" s="14" t="str">
        <f aca="false">IF(A71="","",YEAR(A71))</f>
        <v/>
      </c>
      <c r="D71" s="13"/>
      <c r="E71" s="13"/>
      <c r="F71" s="13"/>
      <c r="G71" s="17"/>
      <c r="H71" s="18"/>
      <c r="I71" s="19" t="str">
        <f aca="false">IF(G71="","",G71*H71)</f>
        <v/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customFormat="false" ht="15" hidden="false" customHeight="false" outlineLevel="0" collapsed="false">
      <c r="A72" s="16"/>
      <c r="B72" s="14" t="str">
        <f aca="false">IF(A72="","",MONTH(A72))</f>
        <v/>
      </c>
      <c r="C72" s="14" t="str">
        <f aca="false">IF(A72="","",YEAR(A72))</f>
        <v/>
      </c>
      <c r="D72" s="13"/>
      <c r="E72" s="13"/>
      <c r="F72" s="13"/>
      <c r="G72" s="17"/>
      <c r="H72" s="18"/>
      <c r="I72" s="19" t="str">
        <f aca="false">IF(G72="","",G72*H72)</f>
        <v/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customFormat="false" ht="15" hidden="false" customHeight="false" outlineLevel="0" collapsed="false">
      <c r="A73" s="16"/>
      <c r="B73" s="14" t="str">
        <f aca="false">IF(A73="","",MONTH(A73))</f>
        <v/>
      </c>
      <c r="C73" s="14" t="str">
        <f aca="false">IF(A73="","",YEAR(A73))</f>
        <v/>
      </c>
      <c r="D73" s="13"/>
      <c r="E73" s="13"/>
      <c r="F73" s="13"/>
      <c r="G73" s="17"/>
      <c r="H73" s="18"/>
      <c r="I73" s="19" t="str">
        <f aca="false">IF(G73="","",G73*H73)</f>
        <v/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customFormat="false" ht="15" hidden="false" customHeight="false" outlineLevel="0" collapsed="false">
      <c r="A74" s="16"/>
      <c r="B74" s="14" t="str">
        <f aca="false">IF(A74="","",MONTH(A74))</f>
        <v/>
      </c>
      <c r="C74" s="14" t="str">
        <f aca="false">IF(A74="","",YEAR(A74))</f>
        <v/>
      </c>
      <c r="D74" s="13"/>
      <c r="E74" s="13"/>
      <c r="F74" s="13"/>
      <c r="G74" s="17"/>
      <c r="H74" s="18"/>
      <c r="I74" s="19" t="str">
        <f aca="false">IF(G74="","",G74*H74)</f>
        <v/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customFormat="false" ht="15" hidden="false" customHeight="false" outlineLevel="0" collapsed="false">
      <c r="A75" s="16"/>
      <c r="B75" s="14" t="str">
        <f aca="false">IF(A75="","",MONTH(A75))</f>
        <v/>
      </c>
      <c r="C75" s="14" t="str">
        <f aca="false">IF(A75="","",YEAR(A75))</f>
        <v/>
      </c>
      <c r="D75" s="13"/>
      <c r="E75" s="13"/>
      <c r="F75" s="13"/>
      <c r="G75" s="17"/>
      <c r="H75" s="18"/>
      <c r="I75" s="19" t="str">
        <f aca="false">IF(G75="","",G75*H75)</f>
        <v/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customFormat="false" ht="15" hidden="false" customHeight="false" outlineLevel="0" collapsed="false">
      <c r="A76" s="16"/>
      <c r="B76" s="14" t="str">
        <f aca="false">IF(A76="","",MONTH(A76))</f>
        <v/>
      </c>
      <c r="C76" s="14" t="str">
        <f aca="false">IF(A76="","",YEAR(A76))</f>
        <v/>
      </c>
      <c r="D76" s="13"/>
      <c r="E76" s="13"/>
      <c r="F76" s="13"/>
      <c r="G76" s="17"/>
      <c r="H76" s="18"/>
      <c r="I76" s="19" t="str">
        <f aca="false">IF(G76="","",G76*H76)</f>
        <v/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customFormat="false" ht="15" hidden="false" customHeight="false" outlineLevel="0" collapsed="false">
      <c r="A77" s="16"/>
      <c r="B77" s="14" t="str">
        <f aca="false">IF(A77="","",MONTH(A77))</f>
        <v/>
      </c>
      <c r="C77" s="14" t="str">
        <f aca="false">IF(A77="","",YEAR(A77))</f>
        <v/>
      </c>
      <c r="D77" s="13"/>
      <c r="E77" s="13"/>
      <c r="F77" s="13"/>
      <c r="G77" s="17"/>
      <c r="H77" s="18"/>
      <c r="I77" s="19" t="str">
        <f aca="false">IF(G77="","",G77*H77)</f>
        <v/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customFormat="false" ht="15" hidden="false" customHeight="false" outlineLevel="0" collapsed="false">
      <c r="A78" s="16"/>
      <c r="B78" s="14" t="str">
        <f aca="false">IF(A78="","",MONTH(A78))</f>
        <v/>
      </c>
      <c r="C78" s="14" t="str">
        <f aca="false">IF(A78="","",YEAR(A78))</f>
        <v/>
      </c>
      <c r="D78" s="13"/>
      <c r="E78" s="13"/>
      <c r="F78" s="13"/>
      <c r="G78" s="17"/>
      <c r="H78" s="18"/>
      <c r="I78" s="19" t="str">
        <f aca="false">IF(G78="","",G78*H78)</f>
        <v/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customFormat="false" ht="15" hidden="false" customHeight="false" outlineLevel="0" collapsed="false">
      <c r="A79" s="16"/>
      <c r="B79" s="14" t="str">
        <f aca="false">IF(A79="","",MONTH(A79))</f>
        <v/>
      </c>
      <c r="C79" s="14" t="str">
        <f aca="false">IF(A79="","",YEAR(A79))</f>
        <v/>
      </c>
      <c r="D79" s="13"/>
      <c r="E79" s="13"/>
      <c r="F79" s="13"/>
      <c r="G79" s="17"/>
      <c r="H79" s="18"/>
      <c r="I79" s="19" t="str">
        <f aca="false">IF(G79="","",G79*H79)</f>
        <v/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customFormat="false" ht="15" hidden="false" customHeight="false" outlineLevel="0" collapsed="false">
      <c r="A80" s="16"/>
      <c r="B80" s="14" t="str">
        <f aca="false">IF(A80="","",MONTH(A80))</f>
        <v/>
      </c>
      <c r="C80" s="14" t="str">
        <f aca="false">IF(A80="","",YEAR(A80))</f>
        <v/>
      </c>
      <c r="D80" s="13"/>
      <c r="E80" s="13"/>
      <c r="F80" s="13"/>
      <c r="G80" s="17"/>
      <c r="H80" s="18"/>
      <c r="I80" s="19" t="str">
        <f aca="false">IF(G80="","",G80*H80)</f>
        <v/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customFormat="false" ht="15" hidden="false" customHeight="false" outlineLevel="0" collapsed="false">
      <c r="A81" s="16"/>
      <c r="B81" s="14" t="str">
        <f aca="false">IF(A81="","",MONTH(A81))</f>
        <v/>
      </c>
      <c r="C81" s="14" t="str">
        <f aca="false">IF(A81="","",YEAR(A81))</f>
        <v/>
      </c>
      <c r="D81" s="13"/>
      <c r="E81" s="13"/>
      <c r="F81" s="13"/>
      <c r="G81" s="17"/>
      <c r="H81" s="18"/>
      <c r="I81" s="19" t="str">
        <f aca="false">IF(G81="","",G81*H81)</f>
        <v/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customFormat="false" ht="15" hidden="false" customHeight="false" outlineLevel="0" collapsed="false">
      <c r="A82" s="16"/>
      <c r="B82" s="14" t="str">
        <f aca="false">IF(A82="","",MONTH(A82))</f>
        <v/>
      </c>
      <c r="C82" s="14" t="str">
        <f aca="false">IF(A82="","",YEAR(A82))</f>
        <v/>
      </c>
      <c r="D82" s="13"/>
      <c r="E82" s="13"/>
      <c r="F82" s="13"/>
      <c r="G82" s="17"/>
      <c r="H82" s="18"/>
      <c r="I82" s="19" t="str">
        <f aca="false">IF(G82="","",G82*H82)</f>
        <v/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customFormat="false" ht="15" hidden="false" customHeight="false" outlineLevel="0" collapsed="false">
      <c r="A83" s="16"/>
      <c r="B83" s="14" t="str">
        <f aca="false">IF(A83="","",MONTH(A83))</f>
        <v/>
      </c>
      <c r="C83" s="14" t="str">
        <f aca="false">IF(A83="","",YEAR(A83))</f>
        <v/>
      </c>
      <c r="D83" s="13"/>
      <c r="E83" s="13"/>
      <c r="F83" s="13"/>
      <c r="G83" s="17"/>
      <c r="H83" s="18"/>
      <c r="I83" s="19" t="str">
        <f aca="false">IF(G83="","",G83*H83)</f>
        <v/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customFormat="false" ht="15" hidden="false" customHeight="false" outlineLevel="0" collapsed="false">
      <c r="A84" s="16"/>
      <c r="B84" s="14" t="str">
        <f aca="false">IF(A84="","",MONTH(A84))</f>
        <v/>
      </c>
      <c r="C84" s="14" t="str">
        <f aca="false">IF(A84="","",YEAR(A84))</f>
        <v/>
      </c>
      <c r="D84" s="13"/>
      <c r="E84" s="13"/>
      <c r="F84" s="13"/>
      <c r="G84" s="17"/>
      <c r="H84" s="18"/>
      <c r="I84" s="19" t="str">
        <f aca="false">IF(G84="","",G84*H84)</f>
        <v/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customFormat="false" ht="15" hidden="false" customHeight="false" outlineLevel="0" collapsed="false">
      <c r="A85" s="16"/>
      <c r="B85" s="14" t="str">
        <f aca="false">IF(A85="","",MONTH(A85))</f>
        <v/>
      </c>
      <c r="C85" s="14" t="str">
        <f aca="false">IF(A85="","",YEAR(A85))</f>
        <v/>
      </c>
      <c r="D85" s="13"/>
      <c r="E85" s="13"/>
      <c r="F85" s="13"/>
      <c r="G85" s="17"/>
      <c r="H85" s="18"/>
      <c r="I85" s="19" t="str">
        <f aca="false">IF(G85="","",G85*H85)</f>
        <v/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customFormat="false" ht="15" hidden="false" customHeight="false" outlineLevel="0" collapsed="false">
      <c r="A86" s="16"/>
      <c r="B86" s="14" t="str">
        <f aca="false">IF(A86="","",MONTH(A86))</f>
        <v/>
      </c>
      <c r="C86" s="14" t="str">
        <f aca="false">IF(A86="","",YEAR(A86))</f>
        <v/>
      </c>
      <c r="D86" s="13"/>
      <c r="E86" s="13"/>
      <c r="F86" s="13"/>
      <c r="G86" s="17"/>
      <c r="H86" s="18"/>
      <c r="I86" s="19" t="str">
        <f aca="false">IF(G86="","",G86*H86)</f>
        <v/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customFormat="false" ht="15" hidden="false" customHeight="false" outlineLevel="0" collapsed="false">
      <c r="A87" s="16"/>
      <c r="B87" s="14" t="str">
        <f aca="false">IF(A87="","",MONTH(A87))</f>
        <v/>
      </c>
      <c r="C87" s="14" t="str">
        <f aca="false">IF(A87="","",YEAR(A87))</f>
        <v/>
      </c>
      <c r="D87" s="13"/>
      <c r="E87" s="13"/>
      <c r="F87" s="13"/>
      <c r="G87" s="17"/>
      <c r="H87" s="18"/>
      <c r="I87" s="19" t="str">
        <f aca="false">IF(G87="","",G87*H87)</f>
        <v/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customFormat="false" ht="15" hidden="false" customHeight="false" outlineLevel="0" collapsed="false">
      <c r="A88" s="16"/>
      <c r="B88" s="14" t="str">
        <f aca="false">IF(A88="","",MONTH(A88))</f>
        <v/>
      </c>
      <c r="C88" s="14" t="str">
        <f aca="false">IF(A88="","",YEAR(A88))</f>
        <v/>
      </c>
      <c r="D88" s="13"/>
      <c r="E88" s="13"/>
      <c r="F88" s="13"/>
      <c r="G88" s="17"/>
      <c r="H88" s="18"/>
      <c r="I88" s="19" t="str">
        <f aca="false">IF(G88="","",G88*H88)</f>
        <v/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customFormat="false" ht="15" hidden="false" customHeight="false" outlineLevel="0" collapsed="false">
      <c r="A89" s="16"/>
      <c r="B89" s="14" t="str">
        <f aca="false">IF(A89="","",MONTH(A89))</f>
        <v/>
      </c>
      <c r="C89" s="14" t="str">
        <f aca="false">IF(A89="","",YEAR(A89))</f>
        <v/>
      </c>
      <c r="D89" s="13"/>
      <c r="E89" s="13"/>
      <c r="F89" s="13"/>
      <c r="G89" s="17"/>
      <c r="H89" s="18"/>
      <c r="I89" s="19" t="str">
        <f aca="false">IF(G89="","",G89*H89)</f>
        <v/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customFormat="false" ht="15" hidden="false" customHeight="false" outlineLevel="0" collapsed="false">
      <c r="A90" s="16"/>
      <c r="B90" s="14" t="str">
        <f aca="false">IF(A90="","",MONTH(A90))</f>
        <v/>
      </c>
      <c r="C90" s="14" t="str">
        <f aca="false">IF(A90="","",YEAR(A90))</f>
        <v/>
      </c>
      <c r="D90" s="13"/>
      <c r="E90" s="13"/>
      <c r="F90" s="13"/>
      <c r="G90" s="17"/>
      <c r="H90" s="18"/>
      <c r="I90" s="19" t="str">
        <f aca="false">IF(G90="","",G90*H90)</f>
        <v/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customFormat="false" ht="15" hidden="false" customHeight="false" outlineLevel="0" collapsed="false">
      <c r="A91" s="16"/>
      <c r="B91" s="14" t="str">
        <f aca="false">IF(A91="","",MONTH(A91))</f>
        <v/>
      </c>
      <c r="C91" s="14" t="str">
        <f aca="false">IF(A91="","",YEAR(A91))</f>
        <v/>
      </c>
      <c r="D91" s="13"/>
      <c r="E91" s="13"/>
      <c r="F91" s="13"/>
      <c r="G91" s="17"/>
      <c r="H91" s="18"/>
      <c r="I91" s="19" t="str">
        <f aca="false">IF(G91="","",G91*H91)</f>
        <v/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customFormat="false" ht="15" hidden="false" customHeight="false" outlineLevel="0" collapsed="false">
      <c r="A92" s="16"/>
      <c r="B92" s="14" t="str">
        <f aca="false">IF(A92="","",MONTH(A92))</f>
        <v/>
      </c>
      <c r="C92" s="14" t="str">
        <f aca="false">IF(A92="","",YEAR(A92))</f>
        <v/>
      </c>
      <c r="D92" s="13"/>
      <c r="E92" s="13"/>
      <c r="F92" s="13"/>
      <c r="G92" s="17"/>
      <c r="H92" s="18"/>
      <c r="I92" s="19" t="str">
        <f aca="false">IF(G92="","",G92*H92)</f>
        <v/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customFormat="false" ht="15" hidden="false" customHeight="false" outlineLevel="0" collapsed="false">
      <c r="A93" s="16"/>
      <c r="B93" s="14" t="str">
        <f aca="false">IF(A93="","",MONTH(A93))</f>
        <v/>
      </c>
      <c r="C93" s="14" t="str">
        <f aca="false">IF(A93="","",YEAR(A93))</f>
        <v/>
      </c>
      <c r="D93" s="13"/>
      <c r="E93" s="13"/>
      <c r="F93" s="13"/>
      <c r="G93" s="17"/>
      <c r="H93" s="18"/>
      <c r="I93" s="19" t="str">
        <f aca="false">IF(G93="","",G93*H93)</f>
        <v/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customFormat="false" ht="15" hidden="false" customHeight="false" outlineLevel="0" collapsed="false">
      <c r="A94" s="16"/>
      <c r="B94" s="14" t="str">
        <f aca="false">IF(A94="","",MONTH(A94))</f>
        <v/>
      </c>
      <c r="C94" s="14" t="str">
        <f aca="false">IF(A94="","",YEAR(A94))</f>
        <v/>
      </c>
      <c r="D94" s="13"/>
      <c r="E94" s="13"/>
      <c r="F94" s="13"/>
      <c r="G94" s="17"/>
      <c r="H94" s="18"/>
      <c r="I94" s="19" t="str">
        <f aca="false">IF(G94="","",G94*H94)</f>
        <v/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customFormat="false" ht="15" hidden="false" customHeight="false" outlineLevel="0" collapsed="false">
      <c r="A95" s="16"/>
      <c r="B95" s="14" t="str">
        <f aca="false">IF(A95="","",MONTH(A95))</f>
        <v/>
      </c>
      <c r="C95" s="14" t="str">
        <f aca="false">IF(A95="","",YEAR(A95))</f>
        <v/>
      </c>
      <c r="D95" s="13"/>
      <c r="E95" s="13"/>
      <c r="F95" s="13"/>
      <c r="G95" s="17"/>
      <c r="H95" s="18"/>
      <c r="I95" s="19" t="str">
        <f aca="false">IF(G95="","",G95*H95)</f>
        <v/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customFormat="false" ht="15" hidden="false" customHeight="false" outlineLevel="0" collapsed="false">
      <c r="A96" s="16"/>
      <c r="B96" s="14" t="str">
        <f aca="false">IF(A96="","",MONTH(A96))</f>
        <v/>
      </c>
      <c r="C96" s="14" t="str">
        <f aca="false">IF(A96="","",YEAR(A96))</f>
        <v/>
      </c>
      <c r="D96" s="13"/>
      <c r="E96" s="13"/>
      <c r="F96" s="13"/>
      <c r="G96" s="17"/>
      <c r="H96" s="18"/>
      <c r="I96" s="19" t="str">
        <f aca="false">IF(G96="","",G96*H96)</f>
        <v/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customFormat="false" ht="15" hidden="false" customHeight="false" outlineLevel="0" collapsed="false">
      <c r="A97" s="16"/>
      <c r="B97" s="14" t="str">
        <f aca="false">IF(A97="","",MONTH(A97))</f>
        <v/>
      </c>
      <c r="C97" s="14" t="str">
        <f aca="false">IF(A97="","",YEAR(A97))</f>
        <v/>
      </c>
      <c r="D97" s="13"/>
      <c r="E97" s="13"/>
      <c r="F97" s="13"/>
      <c r="G97" s="17"/>
      <c r="H97" s="18"/>
      <c r="I97" s="19" t="str">
        <f aca="false">IF(G97="","",G97*H97)</f>
        <v/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customFormat="false" ht="15" hidden="false" customHeight="false" outlineLevel="0" collapsed="false">
      <c r="A98" s="16"/>
      <c r="B98" s="14" t="str">
        <f aca="false">IF(A98="","",MONTH(A98))</f>
        <v/>
      </c>
      <c r="C98" s="14" t="str">
        <f aca="false">IF(A98="","",YEAR(A98))</f>
        <v/>
      </c>
      <c r="D98" s="13"/>
      <c r="E98" s="13"/>
      <c r="F98" s="13"/>
      <c r="G98" s="17"/>
      <c r="H98" s="18"/>
      <c r="I98" s="19" t="str">
        <f aca="false">IF(G98="","",G98*H98)</f>
        <v/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customFormat="false" ht="15" hidden="false" customHeight="false" outlineLevel="0" collapsed="false">
      <c r="A99" s="16"/>
      <c r="B99" s="14" t="str">
        <f aca="false">IF(A99="","",MONTH(A99))</f>
        <v/>
      </c>
      <c r="C99" s="14" t="str">
        <f aca="false">IF(A99="","",YEAR(A99))</f>
        <v/>
      </c>
      <c r="D99" s="13"/>
      <c r="E99" s="13"/>
      <c r="F99" s="13"/>
      <c r="G99" s="17"/>
      <c r="H99" s="18"/>
      <c r="I99" s="19" t="str">
        <f aca="false">IF(G99="","",G99*H99)</f>
        <v/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customFormat="false" ht="15" hidden="false" customHeight="false" outlineLevel="0" collapsed="false">
      <c r="A100" s="16"/>
      <c r="B100" s="14" t="str">
        <f aca="false">IF(A100="","",MONTH(A100))</f>
        <v/>
      </c>
      <c r="C100" s="14" t="str">
        <f aca="false">IF(A100="","",YEAR(A100))</f>
        <v/>
      </c>
      <c r="D100" s="13"/>
      <c r="E100" s="13"/>
      <c r="F100" s="13"/>
      <c r="G100" s="17"/>
      <c r="H100" s="18"/>
      <c r="I100" s="19" t="str">
        <f aca="false">IF(G100="","",G100*H100)</f>
        <v/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customFormat="false" ht="15" hidden="false" customHeight="false" outlineLevel="0" collapsed="false">
      <c r="A101" s="16"/>
      <c r="B101" s="14" t="str">
        <f aca="false">IF(A101="","",MONTH(A101))</f>
        <v/>
      </c>
      <c r="C101" s="14" t="str">
        <f aca="false">IF(A101="","",YEAR(A101))</f>
        <v/>
      </c>
      <c r="D101" s="13"/>
      <c r="E101" s="13"/>
      <c r="F101" s="13"/>
      <c r="G101" s="17"/>
      <c r="H101" s="18"/>
      <c r="I101" s="19" t="str">
        <f aca="false">IF(G101="","",G101*H101)</f>
        <v/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customFormat="false" ht="15" hidden="false" customHeight="false" outlineLevel="0" collapsed="false">
      <c r="A102" s="16"/>
      <c r="B102" s="14" t="str">
        <f aca="false">IF(A102="","",MONTH(A102))</f>
        <v/>
      </c>
      <c r="C102" s="14" t="str">
        <f aca="false">IF(A102="","",YEAR(A102))</f>
        <v/>
      </c>
      <c r="D102" s="13"/>
      <c r="E102" s="13"/>
      <c r="F102" s="13"/>
      <c r="G102" s="17"/>
      <c r="H102" s="18"/>
      <c r="I102" s="19" t="str">
        <f aca="false">IF(G102="","",G102*H102)</f>
        <v/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customFormat="false" ht="15" hidden="false" customHeight="false" outlineLevel="0" collapsed="false">
      <c r="A103" s="16"/>
      <c r="B103" s="14" t="str">
        <f aca="false">IF(A103="","",MONTH(A103))</f>
        <v/>
      </c>
      <c r="C103" s="14" t="str">
        <f aca="false">IF(A103="","",YEAR(A103))</f>
        <v/>
      </c>
      <c r="D103" s="13"/>
      <c r="E103" s="13"/>
      <c r="F103" s="13"/>
      <c r="G103" s="17"/>
      <c r="H103" s="18"/>
      <c r="I103" s="19" t="str">
        <f aca="false">IF(G103="","",G103*H103)</f>
        <v/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customFormat="false" ht="15" hidden="false" customHeight="false" outlineLevel="0" collapsed="false">
      <c r="A104" s="16"/>
      <c r="B104" s="14" t="str">
        <f aca="false">IF(A104="","",MONTH(A104))</f>
        <v/>
      </c>
      <c r="C104" s="14" t="str">
        <f aca="false">IF(A104="","",YEAR(A104))</f>
        <v/>
      </c>
      <c r="D104" s="13"/>
      <c r="E104" s="13"/>
      <c r="F104" s="13"/>
      <c r="G104" s="17"/>
      <c r="H104" s="18"/>
      <c r="I104" s="19" t="str">
        <f aca="false">IF(G104="","",G104*H104)</f>
        <v/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customFormat="false" ht="15" hidden="false" customHeight="false" outlineLevel="0" collapsed="false">
      <c r="A105" s="16"/>
      <c r="B105" s="14" t="str">
        <f aca="false">IF(A105="","",MONTH(A105))</f>
        <v/>
      </c>
      <c r="C105" s="14" t="str">
        <f aca="false">IF(A105="","",YEAR(A105))</f>
        <v/>
      </c>
      <c r="D105" s="13"/>
      <c r="E105" s="13"/>
      <c r="F105" s="13"/>
      <c r="G105" s="17"/>
      <c r="H105" s="18"/>
      <c r="I105" s="19" t="str">
        <f aca="false">IF(G105="","",G105*H105)</f>
        <v/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customFormat="false" ht="15" hidden="false" customHeight="false" outlineLevel="0" collapsed="false">
      <c r="A106" s="16"/>
      <c r="B106" s="14" t="str">
        <f aca="false">IF(A106="","",MONTH(A106))</f>
        <v/>
      </c>
      <c r="C106" s="14" t="str">
        <f aca="false">IF(A106="","",YEAR(A106))</f>
        <v/>
      </c>
      <c r="D106" s="13"/>
      <c r="E106" s="13"/>
      <c r="F106" s="13"/>
      <c r="G106" s="17"/>
      <c r="H106" s="18"/>
      <c r="I106" s="19" t="str">
        <f aca="false">IF(G106="","",G106*H106)</f>
        <v/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customFormat="false" ht="15" hidden="false" customHeight="false" outlineLevel="0" collapsed="false">
      <c r="A107" s="16"/>
      <c r="B107" s="14" t="str">
        <f aca="false">IF(A107="","",MONTH(A107))</f>
        <v/>
      </c>
      <c r="C107" s="14" t="str">
        <f aca="false">IF(A107="","",YEAR(A107))</f>
        <v/>
      </c>
      <c r="D107" s="13"/>
      <c r="E107" s="13"/>
      <c r="F107" s="13"/>
      <c r="G107" s="17"/>
      <c r="H107" s="18"/>
      <c r="I107" s="19" t="str">
        <f aca="false">IF(G107="","",G107*H107)</f>
        <v/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customFormat="false" ht="15" hidden="false" customHeight="false" outlineLevel="0" collapsed="false">
      <c r="A108" s="16"/>
      <c r="B108" s="14" t="str">
        <f aca="false">IF(A108="","",MONTH(A108))</f>
        <v/>
      </c>
      <c r="C108" s="14" t="str">
        <f aca="false">IF(A108="","",YEAR(A108))</f>
        <v/>
      </c>
      <c r="D108" s="13"/>
      <c r="E108" s="13"/>
      <c r="F108" s="13"/>
      <c r="G108" s="17"/>
      <c r="H108" s="18"/>
      <c r="I108" s="19" t="str">
        <f aca="false">IF(G108="","",G108*H108)</f>
        <v/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customFormat="false" ht="15" hidden="false" customHeight="false" outlineLevel="0" collapsed="false">
      <c r="A109" s="16"/>
      <c r="B109" s="14" t="str">
        <f aca="false">IF(A109="","",MONTH(A109))</f>
        <v/>
      </c>
      <c r="C109" s="14" t="str">
        <f aca="false">IF(A109="","",YEAR(A109))</f>
        <v/>
      </c>
      <c r="D109" s="13"/>
      <c r="E109" s="13"/>
      <c r="F109" s="13"/>
      <c r="G109" s="17"/>
      <c r="H109" s="18"/>
      <c r="I109" s="19" t="str">
        <f aca="false">IF(G109="","",G109*H109)</f>
        <v/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customFormat="false" ht="15" hidden="false" customHeight="false" outlineLevel="0" collapsed="false">
      <c r="A110" s="16"/>
      <c r="B110" s="14" t="str">
        <f aca="false">IF(A110="","",MONTH(A110))</f>
        <v/>
      </c>
      <c r="C110" s="14" t="str">
        <f aca="false">IF(A110="","",YEAR(A110))</f>
        <v/>
      </c>
      <c r="D110" s="13"/>
      <c r="E110" s="13"/>
      <c r="F110" s="13"/>
      <c r="G110" s="17"/>
      <c r="H110" s="18"/>
      <c r="I110" s="19" t="str">
        <f aca="false">IF(G110="","",G110*H110)</f>
        <v/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customFormat="false" ht="15" hidden="false" customHeight="false" outlineLevel="0" collapsed="false">
      <c r="A111" s="16"/>
      <c r="B111" s="14" t="str">
        <f aca="false">IF(A111="","",MONTH(A111))</f>
        <v/>
      </c>
      <c r="C111" s="14" t="str">
        <f aca="false">IF(A111="","",YEAR(A111))</f>
        <v/>
      </c>
      <c r="D111" s="13"/>
      <c r="E111" s="13"/>
      <c r="F111" s="13"/>
      <c r="G111" s="17"/>
      <c r="H111" s="18"/>
      <c r="I111" s="19" t="str">
        <f aca="false">IF(G111="","",G111*H111)</f>
        <v/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customFormat="false" ht="15" hidden="false" customHeight="false" outlineLevel="0" collapsed="false">
      <c r="A112" s="16"/>
      <c r="B112" s="14" t="str">
        <f aca="false">IF(A112="","",MONTH(A112))</f>
        <v/>
      </c>
      <c r="C112" s="14" t="str">
        <f aca="false">IF(A112="","",YEAR(A112))</f>
        <v/>
      </c>
      <c r="D112" s="13"/>
      <c r="E112" s="13"/>
      <c r="F112" s="13"/>
      <c r="G112" s="17"/>
      <c r="H112" s="18"/>
      <c r="I112" s="19" t="str">
        <f aca="false">IF(G112="","",G112*H112)</f>
        <v/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customFormat="false" ht="15" hidden="false" customHeight="false" outlineLevel="0" collapsed="false">
      <c r="A113" s="16"/>
      <c r="B113" s="14" t="str">
        <f aca="false">IF(A113="","",MONTH(A113))</f>
        <v/>
      </c>
      <c r="C113" s="14" t="str">
        <f aca="false">IF(A113="","",YEAR(A113))</f>
        <v/>
      </c>
      <c r="D113" s="13"/>
      <c r="E113" s="13"/>
      <c r="F113" s="13"/>
      <c r="G113" s="17"/>
      <c r="H113" s="18"/>
      <c r="I113" s="19" t="str">
        <f aca="false">IF(G113="","",G113*H113)</f>
        <v/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customFormat="false" ht="15" hidden="false" customHeight="false" outlineLevel="0" collapsed="false">
      <c r="A114" s="16"/>
      <c r="B114" s="14" t="str">
        <f aca="false">IF(A114="","",MONTH(A114))</f>
        <v/>
      </c>
      <c r="C114" s="14" t="str">
        <f aca="false">IF(A114="","",YEAR(A114))</f>
        <v/>
      </c>
      <c r="D114" s="13"/>
      <c r="E114" s="13"/>
      <c r="F114" s="13"/>
      <c r="G114" s="17"/>
      <c r="H114" s="18"/>
      <c r="I114" s="19" t="str">
        <f aca="false">IF(G114="","",G114*H114)</f>
        <v/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customFormat="false" ht="15" hidden="false" customHeight="false" outlineLevel="0" collapsed="false">
      <c r="A115" s="16"/>
      <c r="B115" s="14" t="str">
        <f aca="false">IF(A115="","",MONTH(A115))</f>
        <v/>
      </c>
      <c r="C115" s="14" t="str">
        <f aca="false">IF(A115="","",YEAR(A115))</f>
        <v/>
      </c>
      <c r="D115" s="13"/>
      <c r="E115" s="13"/>
      <c r="F115" s="13"/>
      <c r="G115" s="17"/>
      <c r="H115" s="18"/>
      <c r="I115" s="19" t="str">
        <f aca="false">IF(G115="","",G115*H115)</f>
        <v/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customFormat="false" ht="15" hidden="false" customHeight="false" outlineLevel="0" collapsed="false">
      <c r="A116" s="16"/>
      <c r="B116" s="14" t="str">
        <f aca="false">IF(A116="","",MONTH(A116))</f>
        <v/>
      </c>
      <c r="C116" s="14" t="str">
        <f aca="false">IF(A116="","",YEAR(A116))</f>
        <v/>
      </c>
      <c r="D116" s="13"/>
      <c r="E116" s="13"/>
      <c r="F116" s="13"/>
      <c r="G116" s="17"/>
      <c r="H116" s="18"/>
      <c r="I116" s="19" t="str">
        <f aca="false">IF(G116="","",G116*H116)</f>
        <v/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customFormat="false" ht="15" hidden="false" customHeight="false" outlineLevel="0" collapsed="false">
      <c r="A117" s="16"/>
      <c r="B117" s="14" t="str">
        <f aca="false">IF(A117="","",MONTH(A117))</f>
        <v/>
      </c>
      <c r="C117" s="14" t="str">
        <f aca="false">IF(A117="","",YEAR(A117))</f>
        <v/>
      </c>
      <c r="D117" s="13"/>
      <c r="E117" s="13"/>
      <c r="F117" s="13"/>
      <c r="G117" s="17"/>
      <c r="H117" s="18"/>
      <c r="I117" s="19" t="str">
        <f aca="false">IF(G117="","",G117*H117)</f>
        <v/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customFormat="false" ht="15" hidden="false" customHeight="false" outlineLevel="0" collapsed="false">
      <c r="A118" s="16"/>
      <c r="B118" s="14" t="str">
        <f aca="false">IF(A118="","",MONTH(A118))</f>
        <v/>
      </c>
      <c r="C118" s="14" t="str">
        <f aca="false">IF(A118="","",YEAR(A118))</f>
        <v/>
      </c>
      <c r="D118" s="13"/>
      <c r="E118" s="13"/>
      <c r="F118" s="13"/>
      <c r="G118" s="17"/>
      <c r="H118" s="18"/>
      <c r="I118" s="19" t="str">
        <f aca="false">IF(G118="","",G118*H118)</f>
        <v/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customFormat="false" ht="15" hidden="false" customHeight="false" outlineLevel="0" collapsed="false">
      <c r="A119" s="16"/>
      <c r="B119" s="14" t="str">
        <f aca="false">IF(A119="","",MONTH(A119))</f>
        <v/>
      </c>
      <c r="C119" s="14" t="str">
        <f aca="false">IF(A119="","",YEAR(A119))</f>
        <v/>
      </c>
      <c r="D119" s="13"/>
      <c r="E119" s="13"/>
      <c r="F119" s="13"/>
      <c r="G119" s="17"/>
      <c r="H119" s="18"/>
      <c r="I119" s="19" t="str">
        <f aca="false">IF(G119="","",G119*H119)</f>
        <v/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customFormat="false" ht="15" hidden="false" customHeight="false" outlineLevel="0" collapsed="false">
      <c r="A120" s="16"/>
      <c r="B120" s="14" t="str">
        <f aca="false">IF(A120="","",MONTH(A120))</f>
        <v/>
      </c>
      <c r="C120" s="14" t="str">
        <f aca="false">IF(A120="","",YEAR(A120))</f>
        <v/>
      </c>
      <c r="D120" s="13"/>
      <c r="E120" s="13"/>
      <c r="F120" s="13"/>
      <c r="G120" s="17"/>
      <c r="H120" s="18"/>
      <c r="I120" s="19" t="str">
        <f aca="false">IF(G120="","",G120*H120)</f>
        <v/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customFormat="false" ht="15" hidden="false" customHeight="false" outlineLevel="0" collapsed="false">
      <c r="A121" s="16"/>
      <c r="B121" s="14" t="str">
        <f aca="false">IF(A121="","",MONTH(A121))</f>
        <v/>
      </c>
      <c r="C121" s="14" t="str">
        <f aca="false">IF(A121="","",YEAR(A121))</f>
        <v/>
      </c>
      <c r="D121" s="13"/>
      <c r="E121" s="13"/>
      <c r="F121" s="13"/>
      <c r="G121" s="17"/>
      <c r="H121" s="18"/>
      <c r="I121" s="19" t="str">
        <f aca="false">IF(G121="","",G121*H121)</f>
        <v/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customFormat="false" ht="15" hidden="false" customHeight="false" outlineLevel="0" collapsed="false">
      <c r="A122" s="16"/>
      <c r="B122" s="14" t="str">
        <f aca="false">IF(A122="","",MONTH(A122))</f>
        <v/>
      </c>
      <c r="C122" s="14" t="str">
        <f aca="false">IF(A122="","",YEAR(A122))</f>
        <v/>
      </c>
      <c r="D122" s="13"/>
      <c r="E122" s="13"/>
      <c r="F122" s="13"/>
      <c r="G122" s="17"/>
      <c r="H122" s="18"/>
      <c r="I122" s="19" t="str">
        <f aca="false">IF(G122="","",G122*H122)</f>
        <v/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customFormat="false" ht="15" hidden="false" customHeight="false" outlineLevel="0" collapsed="false">
      <c r="A123" s="16"/>
      <c r="B123" s="14" t="str">
        <f aca="false">IF(A123="","",MONTH(A123))</f>
        <v/>
      </c>
      <c r="C123" s="14" t="str">
        <f aca="false">IF(A123="","",YEAR(A123))</f>
        <v/>
      </c>
      <c r="D123" s="13"/>
      <c r="E123" s="13"/>
      <c r="F123" s="13"/>
      <c r="G123" s="17"/>
      <c r="H123" s="18"/>
      <c r="I123" s="19" t="str">
        <f aca="false">IF(G123="","",G123*H123)</f>
        <v/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customFormat="false" ht="15" hidden="false" customHeight="false" outlineLevel="0" collapsed="false">
      <c r="A124" s="16"/>
      <c r="B124" s="14" t="str">
        <f aca="false">IF(A124="","",MONTH(A124))</f>
        <v/>
      </c>
      <c r="C124" s="14" t="str">
        <f aca="false">IF(A124="","",YEAR(A124))</f>
        <v/>
      </c>
      <c r="D124" s="13"/>
      <c r="E124" s="13"/>
      <c r="F124" s="13"/>
      <c r="G124" s="17"/>
      <c r="H124" s="18"/>
      <c r="I124" s="19" t="str">
        <f aca="false">IF(G124="","",G124*H124)</f>
        <v/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customFormat="false" ht="15" hidden="false" customHeight="false" outlineLevel="0" collapsed="false">
      <c r="A125" s="16"/>
      <c r="B125" s="14" t="str">
        <f aca="false">IF(A125="","",MONTH(A125))</f>
        <v/>
      </c>
      <c r="C125" s="14" t="str">
        <f aca="false">IF(A125="","",YEAR(A125))</f>
        <v/>
      </c>
      <c r="D125" s="13"/>
      <c r="E125" s="13"/>
      <c r="F125" s="13"/>
      <c r="G125" s="17"/>
      <c r="H125" s="18"/>
      <c r="I125" s="19" t="str">
        <f aca="false">IF(G125="","",G125*H125)</f>
        <v/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customFormat="false" ht="15" hidden="false" customHeight="false" outlineLevel="0" collapsed="false">
      <c r="A126" s="16"/>
      <c r="B126" s="14" t="str">
        <f aca="false">IF(A126="","",MONTH(A126))</f>
        <v/>
      </c>
      <c r="C126" s="14" t="str">
        <f aca="false">IF(A126="","",YEAR(A126))</f>
        <v/>
      </c>
      <c r="D126" s="13"/>
      <c r="E126" s="13"/>
      <c r="F126" s="13"/>
      <c r="G126" s="17"/>
      <c r="H126" s="18"/>
      <c r="I126" s="19" t="str">
        <f aca="false">IF(G126="","",G126*H126)</f>
        <v/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customFormat="false" ht="15" hidden="false" customHeight="false" outlineLevel="0" collapsed="false">
      <c r="A127" s="16"/>
      <c r="B127" s="14" t="str">
        <f aca="false">IF(A127="","",MONTH(A127))</f>
        <v/>
      </c>
      <c r="C127" s="14" t="str">
        <f aca="false">IF(A127="","",YEAR(A127))</f>
        <v/>
      </c>
      <c r="D127" s="13"/>
      <c r="E127" s="13"/>
      <c r="F127" s="13"/>
      <c r="G127" s="17"/>
      <c r="H127" s="18"/>
      <c r="I127" s="19" t="str">
        <f aca="false">IF(G127="","",G127*H127)</f>
        <v/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customFormat="false" ht="15" hidden="false" customHeight="false" outlineLevel="0" collapsed="false">
      <c r="A128" s="16"/>
      <c r="B128" s="14" t="str">
        <f aca="false">IF(A128="","",MONTH(A128))</f>
        <v/>
      </c>
      <c r="C128" s="14" t="str">
        <f aca="false">IF(A128="","",YEAR(A128))</f>
        <v/>
      </c>
      <c r="D128" s="13"/>
      <c r="E128" s="13"/>
      <c r="F128" s="13"/>
      <c r="G128" s="17"/>
      <c r="H128" s="18"/>
      <c r="I128" s="19" t="str">
        <f aca="false">IF(G128="","",G128*H128)</f>
        <v/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customFormat="false" ht="15" hidden="false" customHeight="false" outlineLevel="0" collapsed="false">
      <c r="A129" s="16"/>
      <c r="B129" s="14" t="str">
        <f aca="false">IF(A129="","",MONTH(A129))</f>
        <v/>
      </c>
      <c r="C129" s="14" t="str">
        <f aca="false">IF(A129="","",YEAR(A129))</f>
        <v/>
      </c>
      <c r="D129" s="13"/>
      <c r="E129" s="13"/>
      <c r="F129" s="13"/>
      <c r="G129" s="17"/>
      <c r="H129" s="18"/>
      <c r="I129" s="19" t="str">
        <f aca="false">IF(G129="","",G129*H129)</f>
        <v/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customFormat="false" ht="15" hidden="false" customHeight="false" outlineLevel="0" collapsed="false">
      <c r="A130" s="16"/>
      <c r="B130" s="14" t="str">
        <f aca="false">IF(A130="","",MONTH(A130))</f>
        <v/>
      </c>
      <c r="C130" s="14" t="str">
        <f aca="false">IF(A130="","",YEAR(A130))</f>
        <v/>
      </c>
      <c r="D130" s="13"/>
      <c r="E130" s="13"/>
      <c r="F130" s="13"/>
      <c r="G130" s="17"/>
      <c r="H130" s="18"/>
      <c r="I130" s="19" t="str">
        <f aca="false">IF(G130="","",G130*H130)</f>
        <v/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customFormat="false" ht="15" hidden="false" customHeight="false" outlineLevel="0" collapsed="false">
      <c r="A131" s="16"/>
      <c r="B131" s="14" t="str">
        <f aca="false">IF(A131="","",MONTH(A131))</f>
        <v/>
      </c>
      <c r="C131" s="14" t="str">
        <f aca="false">IF(A131="","",YEAR(A131))</f>
        <v/>
      </c>
      <c r="D131" s="13"/>
      <c r="E131" s="13"/>
      <c r="F131" s="13"/>
      <c r="G131" s="17"/>
      <c r="H131" s="18"/>
      <c r="I131" s="19" t="str">
        <f aca="false">IF(G131="","",G131*H131)</f>
        <v/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customFormat="false" ht="15" hidden="false" customHeight="false" outlineLevel="0" collapsed="false">
      <c r="A132" s="16"/>
      <c r="B132" s="14" t="str">
        <f aca="false">IF(A132="","",MONTH(A132))</f>
        <v/>
      </c>
      <c r="C132" s="14" t="str">
        <f aca="false">IF(A132="","",YEAR(A132))</f>
        <v/>
      </c>
      <c r="D132" s="13"/>
      <c r="E132" s="13"/>
      <c r="F132" s="13"/>
      <c r="G132" s="17"/>
      <c r="H132" s="18"/>
      <c r="I132" s="19" t="str">
        <f aca="false">IF(G132="","",G132*H132)</f>
        <v/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customFormat="false" ht="15" hidden="false" customHeight="false" outlineLevel="0" collapsed="false">
      <c r="A133" s="16"/>
      <c r="B133" s="14" t="str">
        <f aca="false">IF(A133="","",MONTH(A133))</f>
        <v/>
      </c>
      <c r="C133" s="14" t="str">
        <f aca="false">IF(A133="","",YEAR(A133))</f>
        <v/>
      </c>
      <c r="D133" s="13"/>
      <c r="E133" s="13"/>
      <c r="F133" s="13"/>
      <c r="G133" s="17"/>
      <c r="H133" s="18"/>
      <c r="I133" s="19" t="str">
        <f aca="false">IF(G133="","",G133*H133)</f>
        <v/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customFormat="false" ht="15" hidden="false" customHeight="false" outlineLevel="0" collapsed="false">
      <c r="A134" s="16"/>
      <c r="B134" s="14" t="str">
        <f aca="false">IF(A134="","",MONTH(A134))</f>
        <v/>
      </c>
      <c r="C134" s="14" t="str">
        <f aca="false">IF(A134="","",YEAR(A134))</f>
        <v/>
      </c>
      <c r="D134" s="13"/>
      <c r="E134" s="13"/>
      <c r="F134" s="13"/>
      <c r="G134" s="17"/>
      <c r="H134" s="18"/>
      <c r="I134" s="19" t="str">
        <f aca="false">IF(G134="","",G134*H134)</f>
        <v/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customFormat="false" ht="15" hidden="false" customHeight="false" outlineLevel="0" collapsed="false">
      <c r="A135" s="16"/>
      <c r="B135" s="14" t="str">
        <f aca="false">IF(A135="","",MONTH(A135))</f>
        <v/>
      </c>
      <c r="C135" s="14" t="str">
        <f aca="false">IF(A135="","",YEAR(A135))</f>
        <v/>
      </c>
      <c r="D135" s="13"/>
      <c r="E135" s="13"/>
      <c r="F135" s="13"/>
      <c r="G135" s="17"/>
      <c r="H135" s="18"/>
      <c r="I135" s="19" t="str">
        <f aca="false">IF(G135="","",G135*H135)</f>
        <v/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customFormat="false" ht="15" hidden="false" customHeight="false" outlineLevel="0" collapsed="false">
      <c r="A136" s="16"/>
      <c r="B136" s="14" t="str">
        <f aca="false">IF(A136="","",MONTH(A136))</f>
        <v/>
      </c>
      <c r="C136" s="14" t="str">
        <f aca="false">IF(A136="","",YEAR(A136))</f>
        <v/>
      </c>
      <c r="D136" s="13"/>
      <c r="E136" s="13"/>
      <c r="F136" s="13"/>
      <c r="G136" s="17"/>
      <c r="H136" s="18"/>
      <c r="I136" s="19" t="str">
        <f aca="false">IF(G136="","",G136*H136)</f>
        <v/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customFormat="false" ht="15" hidden="false" customHeight="false" outlineLevel="0" collapsed="false">
      <c r="A137" s="16"/>
      <c r="B137" s="14" t="str">
        <f aca="false">IF(A137="","",MONTH(A137))</f>
        <v/>
      </c>
      <c r="C137" s="14" t="str">
        <f aca="false">IF(A137="","",YEAR(A137))</f>
        <v/>
      </c>
      <c r="D137" s="13"/>
      <c r="E137" s="13"/>
      <c r="F137" s="13"/>
      <c r="G137" s="17"/>
      <c r="H137" s="18"/>
      <c r="I137" s="19" t="str">
        <f aca="false">IF(G137="","",G137*H137)</f>
        <v/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customFormat="false" ht="15" hidden="false" customHeight="false" outlineLevel="0" collapsed="false">
      <c r="A138" s="16"/>
      <c r="B138" s="14" t="str">
        <f aca="false">IF(A138="","",MONTH(A138))</f>
        <v/>
      </c>
      <c r="C138" s="14" t="str">
        <f aca="false">IF(A138="","",YEAR(A138))</f>
        <v/>
      </c>
      <c r="D138" s="13"/>
      <c r="E138" s="13"/>
      <c r="F138" s="13"/>
      <c r="G138" s="17"/>
      <c r="H138" s="18"/>
      <c r="I138" s="19" t="str">
        <f aca="false">IF(G138="","",G138*H138)</f>
        <v/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customFormat="false" ht="15" hidden="false" customHeight="false" outlineLevel="0" collapsed="false">
      <c r="A139" s="16"/>
      <c r="B139" s="14" t="str">
        <f aca="false">IF(A139="","",MONTH(A139))</f>
        <v/>
      </c>
      <c r="C139" s="14" t="str">
        <f aca="false">IF(A139="","",YEAR(A139))</f>
        <v/>
      </c>
      <c r="D139" s="13"/>
      <c r="E139" s="13"/>
      <c r="F139" s="13"/>
      <c r="G139" s="17"/>
      <c r="H139" s="18"/>
      <c r="I139" s="19" t="str">
        <f aca="false">IF(G139="","",G139*H139)</f>
        <v/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customFormat="false" ht="15" hidden="false" customHeight="false" outlineLevel="0" collapsed="false">
      <c r="A140" s="16"/>
      <c r="B140" s="14" t="str">
        <f aca="false">IF(A140="","",MONTH(A140))</f>
        <v/>
      </c>
      <c r="C140" s="14" t="str">
        <f aca="false">IF(A140="","",YEAR(A140))</f>
        <v/>
      </c>
      <c r="D140" s="13"/>
      <c r="E140" s="13"/>
      <c r="F140" s="13"/>
      <c r="G140" s="17"/>
      <c r="H140" s="18"/>
      <c r="I140" s="19" t="str">
        <f aca="false">IF(G140="","",G140*H140)</f>
        <v/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customFormat="false" ht="15" hidden="false" customHeight="false" outlineLevel="0" collapsed="false">
      <c r="A141" s="16"/>
      <c r="B141" s="14" t="str">
        <f aca="false">IF(A141="","",MONTH(A141))</f>
        <v/>
      </c>
      <c r="C141" s="14" t="str">
        <f aca="false">IF(A141="","",YEAR(A141))</f>
        <v/>
      </c>
      <c r="D141" s="13"/>
      <c r="E141" s="13"/>
      <c r="F141" s="13"/>
      <c r="G141" s="17"/>
      <c r="H141" s="18"/>
      <c r="I141" s="19" t="str">
        <f aca="false">IF(G141="","",G141*H141)</f>
        <v/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customFormat="false" ht="15" hidden="false" customHeight="false" outlineLevel="0" collapsed="false">
      <c r="A142" s="16"/>
      <c r="B142" s="14" t="str">
        <f aca="false">IF(A142="","",MONTH(A142))</f>
        <v/>
      </c>
      <c r="C142" s="14" t="str">
        <f aca="false">IF(A142="","",YEAR(A142))</f>
        <v/>
      </c>
      <c r="D142" s="13"/>
      <c r="E142" s="13"/>
      <c r="F142" s="13"/>
      <c r="G142" s="17"/>
      <c r="H142" s="18"/>
      <c r="I142" s="19" t="str">
        <f aca="false">IF(G142="","",G142*H142)</f>
        <v/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customFormat="false" ht="15" hidden="false" customHeight="false" outlineLevel="0" collapsed="false">
      <c r="A143" s="16"/>
      <c r="B143" s="14" t="str">
        <f aca="false">IF(A143="","",MONTH(A143))</f>
        <v/>
      </c>
      <c r="C143" s="14" t="str">
        <f aca="false">IF(A143="","",YEAR(A143))</f>
        <v/>
      </c>
      <c r="D143" s="13"/>
      <c r="E143" s="13"/>
      <c r="F143" s="13"/>
      <c r="G143" s="17"/>
      <c r="H143" s="18"/>
      <c r="I143" s="19" t="str">
        <f aca="false">IF(G143="","",G143*H143)</f>
        <v/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customFormat="false" ht="15" hidden="false" customHeight="false" outlineLevel="0" collapsed="false">
      <c r="A144" s="16"/>
      <c r="B144" s="14" t="str">
        <f aca="false">IF(A144="","",MONTH(A144))</f>
        <v/>
      </c>
      <c r="C144" s="14" t="str">
        <f aca="false">IF(A144="","",YEAR(A144))</f>
        <v/>
      </c>
      <c r="D144" s="13"/>
      <c r="E144" s="13"/>
      <c r="F144" s="13"/>
      <c r="G144" s="17"/>
      <c r="H144" s="18"/>
      <c r="I144" s="19" t="str">
        <f aca="false">IF(G144="","",G144*H144)</f>
        <v/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customFormat="false" ht="15" hidden="false" customHeight="false" outlineLevel="0" collapsed="false">
      <c r="A145" s="16"/>
      <c r="B145" s="14" t="str">
        <f aca="false">IF(A145="","",MONTH(A145))</f>
        <v/>
      </c>
      <c r="C145" s="14" t="str">
        <f aca="false">IF(A145="","",YEAR(A145))</f>
        <v/>
      </c>
      <c r="D145" s="13"/>
      <c r="E145" s="13"/>
      <c r="F145" s="13"/>
      <c r="G145" s="17"/>
      <c r="H145" s="18"/>
      <c r="I145" s="19" t="str">
        <f aca="false">IF(G145="","",G145*H145)</f>
        <v/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customFormat="false" ht="15" hidden="false" customHeight="false" outlineLevel="0" collapsed="false">
      <c r="A146" s="16"/>
      <c r="B146" s="14" t="str">
        <f aca="false">IF(A146="","",MONTH(A146))</f>
        <v/>
      </c>
      <c r="C146" s="14" t="str">
        <f aca="false">IF(A146="","",YEAR(A146))</f>
        <v/>
      </c>
      <c r="D146" s="13"/>
      <c r="E146" s="13"/>
      <c r="F146" s="13"/>
      <c r="G146" s="17"/>
      <c r="H146" s="18"/>
      <c r="I146" s="19" t="str">
        <f aca="false">IF(G146="","",G146*H146)</f>
        <v/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customFormat="false" ht="15" hidden="false" customHeight="false" outlineLevel="0" collapsed="false">
      <c r="A147" s="16"/>
      <c r="B147" s="14" t="str">
        <f aca="false">IF(A147="","",MONTH(A147))</f>
        <v/>
      </c>
      <c r="C147" s="14" t="str">
        <f aca="false">IF(A147="","",YEAR(A147))</f>
        <v/>
      </c>
      <c r="D147" s="13"/>
      <c r="E147" s="13"/>
      <c r="F147" s="13"/>
      <c r="G147" s="17"/>
      <c r="H147" s="18"/>
      <c r="I147" s="19" t="str">
        <f aca="false">IF(G147="","",G147*H147)</f>
        <v/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customFormat="false" ht="15" hidden="false" customHeight="false" outlineLevel="0" collapsed="false">
      <c r="A148" s="16"/>
      <c r="B148" s="14" t="str">
        <f aca="false">IF(A148="","",MONTH(A148))</f>
        <v/>
      </c>
      <c r="C148" s="14" t="str">
        <f aca="false">IF(A148="","",YEAR(A148))</f>
        <v/>
      </c>
      <c r="D148" s="13"/>
      <c r="E148" s="13"/>
      <c r="F148" s="13"/>
      <c r="G148" s="17"/>
      <c r="H148" s="18"/>
      <c r="I148" s="19" t="str">
        <f aca="false">IF(G148="","",G148*H148)</f>
        <v/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customFormat="false" ht="15" hidden="false" customHeight="false" outlineLevel="0" collapsed="false">
      <c r="A149" s="16"/>
      <c r="B149" s="14" t="str">
        <f aca="false">IF(A149="","",MONTH(A149))</f>
        <v/>
      </c>
      <c r="C149" s="14" t="str">
        <f aca="false">IF(A149="","",YEAR(A149))</f>
        <v/>
      </c>
      <c r="D149" s="13"/>
      <c r="E149" s="13"/>
      <c r="F149" s="13"/>
      <c r="G149" s="17"/>
      <c r="H149" s="18"/>
      <c r="I149" s="19" t="str">
        <f aca="false">IF(G149="","",G149*H149)</f>
        <v/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customFormat="false" ht="15" hidden="false" customHeight="false" outlineLevel="0" collapsed="false">
      <c r="A150" s="16"/>
      <c r="B150" s="14" t="str">
        <f aca="false">IF(A150="","",MONTH(A150))</f>
        <v/>
      </c>
      <c r="C150" s="14" t="str">
        <f aca="false">IF(A150="","",YEAR(A150))</f>
        <v/>
      </c>
      <c r="D150" s="13"/>
      <c r="E150" s="13"/>
      <c r="F150" s="13"/>
      <c r="G150" s="17"/>
      <c r="H150" s="18"/>
      <c r="I150" s="19" t="str">
        <f aca="false">IF(G150="","",G150*H150)</f>
        <v/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customFormat="false" ht="15" hidden="false" customHeight="false" outlineLevel="0" collapsed="false">
      <c r="A151" s="16"/>
      <c r="B151" s="14" t="str">
        <f aca="false">IF(A151="","",MONTH(A151))</f>
        <v/>
      </c>
      <c r="C151" s="14" t="str">
        <f aca="false">IF(A151="","",YEAR(A151))</f>
        <v/>
      </c>
      <c r="D151" s="13"/>
      <c r="E151" s="13"/>
      <c r="F151" s="13"/>
      <c r="G151" s="17"/>
      <c r="H151" s="18"/>
      <c r="I151" s="19" t="str">
        <f aca="false">IF(G151="","",G151*H151)</f>
        <v/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customFormat="false" ht="15" hidden="false" customHeight="false" outlineLevel="0" collapsed="false">
      <c r="A152" s="16"/>
      <c r="B152" s="14" t="str">
        <f aca="false">IF(A152="","",MONTH(A152))</f>
        <v/>
      </c>
      <c r="C152" s="14" t="str">
        <f aca="false">IF(A152="","",YEAR(A152))</f>
        <v/>
      </c>
      <c r="D152" s="13"/>
      <c r="E152" s="13"/>
      <c r="F152" s="13"/>
      <c r="G152" s="17"/>
      <c r="H152" s="18"/>
      <c r="I152" s="19" t="str">
        <f aca="false">IF(G152="","",G152*H152)</f>
        <v/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customFormat="false" ht="15" hidden="false" customHeight="false" outlineLevel="0" collapsed="false">
      <c r="A153" s="16"/>
      <c r="B153" s="14" t="str">
        <f aca="false">IF(A153="","",MONTH(A153))</f>
        <v/>
      </c>
      <c r="C153" s="14" t="str">
        <f aca="false">IF(A153="","",YEAR(A153))</f>
        <v/>
      </c>
      <c r="D153" s="13"/>
      <c r="E153" s="13"/>
      <c r="F153" s="13"/>
      <c r="G153" s="17"/>
      <c r="H153" s="18"/>
      <c r="I153" s="19" t="str">
        <f aca="false">IF(G153="","",G153*H153)</f>
        <v/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customFormat="false" ht="15" hidden="false" customHeight="false" outlineLevel="0" collapsed="false">
      <c r="A154" s="16"/>
      <c r="B154" s="14" t="str">
        <f aca="false">IF(A154="","",MONTH(A154))</f>
        <v/>
      </c>
      <c r="C154" s="14" t="str">
        <f aca="false">IF(A154="","",YEAR(A154))</f>
        <v/>
      </c>
      <c r="D154" s="13"/>
      <c r="E154" s="13"/>
      <c r="F154" s="13"/>
      <c r="G154" s="17"/>
      <c r="H154" s="18"/>
      <c r="I154" s="19" t="str">
        <f aca="false">IF(G154="","",G154*H154)</f>
        <v/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customFormat="false" ht="15" hidden="false" customHeight="false" outlineLevel="0" collapsed="false">
      <c r="A155" s="16"/>
      <c r="B155" s="14" t="str">
        <f aca="false">IF(A155="","",MONTH(A155))</f>
        <v/>
      </c>
      <c r="C155" s="14" t="str">
        <f aca="false">IF(A155="","",YEAR(A155))</f>
        <v/>
      </c>
      <c r="D155" s="13"/>
      <c r="E155" s="13"/>
      <c r="F155" s="13"/>
      <c r="G155" s="17"/>
      <c r="H155" s="18"/>
      <c r="I155" s="19" t="str">
        <f aca="false">IF(G155="","",G155*H155)</f>
        <v/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customFormat="false" ht="15" hidden="false" customHeight="false" outlineLevel="0" collapsed="false">
      <c r="A156" s="16"/>
      <c r="B156" s="14" t="str">
        <f aca="false">IF(A156="","",MONTH(A156))</f>
        <v/>
      </c>
      <c r="C156" s="14" t="str">
        <f aca="false">IF(A156="","",YEAR(A156))</f>
        <v/>
      </c>
      <c r="D156" s="13"/>
      <c r="E156" s="13"/>
      <c r="F156" s="13"/>
      <c r="G156" s="17"/>
      <c r="H156" s="18"/>
      <c r="I156" s="19" t="str">
        <f aca="false">IF(G156="","",G156*H156)</f>
        <v/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customFormat="false" ht="15" hidden="false" customHeight="false" outlineLevel="0" collapsed="false">
      <c r="A157" s="16"/>
      <c r="B157" s="14" t="str">
        <f aca="false">IF(A157="","",MONTH(A157))</f>
        <v/>
      </c>
      <c r="C157" s="14" t="str">
        <f aca="false">IF(A157="","",YEAR(A157))</f>
        <v/>
      </c>
      <c r="D157" s="13"/>
      <c r="E157" s="13"/>
      <c r="F157" s="13"/>
      <c r="G157" s="17"/>
      <c r="H157" s="18"/>
      <c r="I157" s="19" t="str">
        <f aca="false">IF(G157="","",G157*H157)</f>
        <v/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customFormat="false" ht="15" hidden="false" customHeight="false" outlineLevel="0" collapsed="false">
      <c r="A158" s="16"/>
      <c r="B158" s="14" t="str">
        <f aca="false">IF(A158="","",MONTH(A158))</f>
        <v/>
      </c>
      <c r="C158" s="14" t="str">
        <f aca="false">IF(A158="","",YEAR(A158))</f>
        <v/>
      </c>
      <c r="D158" s="13"/>
      <c r="E158" s="13"/>
      <c r="F158" s="13"/>
      <c r="G158" s="17"/>
      <c r="H158" s="18"/>
      <c r="I158" s="19" t="str">
        <f aca="false">IF(G158="","",G158*H158)</f>
        <v/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customFormat="false" ht="15" hidden="false" customHeight="false" outlineLevel="0" collapsed="false">
      <c r="A159" s="16"/>
      <c r="B159" s="14" t="str">
        <f aca="false">IF(A159="","",MONTH(A159))</f>
        <v/>
      </c>
      <c r="C159" s="14" t="str">
        <f aca="false">IF(A159="","",YEAR(A159))</f>
        <v/>
      </c>
      <c r="D159" s="13"/>
      <c r="E159" s="13"/>
      <c r="F159" s="13"/>
      <c r="G159" s="17"/>
      <c r="H159" s="18"/>
      <c r="I159" s="19" t="str">
        <f aca="false">IF(G159="","",G159*H159)</f>
        <v/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customFormat="false" ht="15" hidden="false" customHeight="false" outlineLevel="0" collapsed="false">
      <c r="A160" s="16"/>
      <c r="B160" s="14" t="str">
        <f aca="false">IF(A160="","",MONTH(A160))</f>
        <v/>
      </c>
      <c r="C160" s="14" t="str">
        <f aca="false">IF(A160="","",YEAR(A160))</f>
        <v/>
      </c>
      <c r="D160" s="13"/>
      <c r="E160" s="13"/>
      <c r="F160" s="13"/>
      <c r="G160" s="17"/>
      <c r="H160" s="18"/>
      <c r="I160" s="19" t="str">
        <f aca="false">IF(G160="","",G160*H160)</f>
        <v/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customFormat="false" ht="15" hidden="false" customHeight="false" outlineLevel="0" collapsed="false">
      <c r="A161" s="16"/>
      <c r="B161" s="14" t="str">
        <f aca="false">IF(A161="","",MONTH(A161))</f>
        <v/>
      </c>
      <c r="C161" s="14" t="str">
        <f aca="false">IF(A161="","",YEAR(A161))</f>
        <v/>
      </c>
      <c r="D161" s="13"/>
      <c r="E161" s="13"/>
      <c r="F161" s="13"/>
      <c r="G161" s="17"/>
      <c r="H161" s="18"/>
      <c r="I161" s="19" t="str">
        <f aca="false">IF(G161="","",G161*H161)</f>
        <v/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customFormat="false" ht="15" hidden="false" customHeight="false" outlineLevel="0" collapsed="false">
      <c r="A162" s="16"/>
      <c r="B162" s="14" t="str">
        <f aca="false">IF(A162="","",MONTH(A162))</f>
        <v/>
      </c>
      <c r="C162" s="14" t="str">
        <f aca="false">IF(A162="","",YEAR(A162))</f>
        <v/>
      </c>
      <c r="D162" s="13"/>
      <c r="E162" s="13"/>
      <c r="F162" s="13"/>
      <c r="G162" s="17"/>
      <c r="H162" s="18"/>
      <c r="I162" s="19" t="str">
        <f aca="false">IF(G162="","",G162*H162)</f>
        <v/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customFormat="false" ht="15" hidden="false" customHeight="false" outlineLevel="0" collapsed="false">
      <c r="A163" s="16"/>
      <c r="B163" s="14" t="str">
        <f aca="false">IF(A163="","",MONTH(A163))</f>
        <v/>
      </c>
      <c r="C163" s="14" t="str">
        <f aca="false">IF(A163="","",YEAR(A163))</f>
        <v/>
      </c>
      <c r="D163" s="13"/>
      <c r="E163" s="13"/>
      <c r="F163" s="13"/>
      <c r="G163" s="17"/>
      <c r="H163" s="18"/>
      <c r="I163" s="19" t="str">
        <f aca="false">IF(G163="","",G163*H163)</f>
        <v/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customFormat="false" ht="15" hidden="false" customHeight="false" outlineLevel="0" collapsed="false">
      <c r="A164" s="16"/>
      <c r="B164" s="14" t="str">
        <f aca="false">IF(A164="","",MONTH(A164))</f>
        <v/>
      </c>
      <c r="C164" s="14" t="str">
        <f aca="false">IF(A164="","",YEAR(A164))</f>
        <v/>
      </c>
      <c r="D164" s="13"/>
      <c r="E164" s="13"/>
      <c r="F164" s="13"/>
      <c r="G164" s="17"/>
      <c r="H164" s="18"/>
      <c r="I164" s="19" t="str">
        <f aca="false">IF(G164="","",G164*H164)</f>
        <v/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customFormat="false" ht="15" hidden="false" customHeight="false" outlineLevel="0" collapsed="false">
      <c r="A165" s="16"/>
      <c r="B165" s="14" t="str">
        <f aca="false">IF(A165="","",MONTH(A165))</f>
        <v/>
      </c>
      <c r="C165" s="14" t="str">
        <f aca="false">IF(A165="","",YEAR(A165))</f>
        <v/>
      </c>
      <c r="D165" s="13"/>
      <c r="E165" s="13"/>
      <c r="F165" s="13"/>
      <c r="G165" s="17"/>
      <c r="H165" s="18"/>
      <c r="I165" s="19" t="str">
        <f aca="false">IF(G165="","",G165*H165)</f>
        <v/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customFormat="false" ht="15" hidden="false" customHeight="false" outlineLevel="0" collapsed="false">
      <c r="A166" s="16"/>
      <c r="B166" s="14" t="str">
        <f aca="false">IF(A166="","",MONTH(A166))</f>
        <v/>
      </c>
      <c r="C166" s="14" t="str">
        <f aca="false">IF(A166="","",YEAR(A166))</f>
        <v/>
      </c>
      <c r="D166" s="13"/>
      <c r="E166" s="13"/>
      <c r="F166" s="13"/>
      <c r="G166" s="17"/>
      <c r="H166" s="18"/>
      <c r="I166" s="19" t="str">
        <f aca="false">IF(G166="","",G166*H166)</f>
        <v/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customFormat="false" ht="15" hidden="false" customHeight="false" outlineLevel="0" collapsed="false">
      <c r="A167" s="16"/>
      <c r="B167" s="14" t="str">
        <f aca="false">IF(A167="","",MONTH(A167))</f>
        <v/>
      </c>
      <c r="C167" s="14" t="str">
        <f aca="false">IF(A167="","",YEAR(A167))</f>
        <v/>
      </c>
      <c r="D167" s="13"/>
      <c r="E167" s="13"/>
      <c r="F167" s="13"/>
      <c r="G167" s="17"/>
      <c r="H167" s="18"/>
      <c r="I167" s="19" t="str">
        <f aca="false">IF(G167="","",G167*H167)</f>
        <v/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customFormat="false" ht="15" hidden="false" customHeight="false" outlineLevel="0" collapsed="false">
      <c r="A168" s="16"/>
      <c r="B168" s="14" t="str">
        <f aca="false">IF(A168="","",MONTH(A168))</f>
        <v/>
      </c>
      <c r="C168" s="14" t="str">
        <f aca="false">IF(A168="","",YEAR(A168))</f>
        <v/>
      </c>
      <c r="D168" s="13"/>
      <c r="E168" s="13"/>
      <c r="F168" s="13"/>
      <c r="G168" s="17"/>
      <c r="H168" s="18"/>
      <c r="I168" s="19" t="str">
        <f aca="false">IF(G168="","",G168*H168)</f>
        <v/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customFormat="false" ht="15" hidden="false" customHeight="false" outlineLevel="0" collapsed="false">
      <c r="A169" s="16"/>
      <c r="B169" s="14" t="str">
        <f aca="false">IF(A169="","",MONTH(A169))</f>
        <v/>
      </c>
      <c r="C169" s="14" t="str">
        <f aca="false">IF(A169="","",YEAR(A169))</f>
        <v/>
      </c>
      <c r="D169" s="13"/>
      <c r="E169" s="13"/>
      <c r="F169" s="13"/>
      <c r="G169" s="17"/>
      <c r="H169" s="18"/>
      <c r="I169" s="19" t="str">
        <f aca="false">IF(G169="","",G169*H169)</f>
        <v/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customFormat="false" ht="15" hidden="false" customHeight="false" outlineLevel="0" collapsed="false">
      <c r="A170" s="16"/>
      <c r="B170" s="14" t="str">
        <f aca="false">IF(A170="","",MONTH(A170))</f>
        <v/>
      </c>
      <c r="C170" s="14" t="str">
        <f aca="false">IF(A170="","",YEAR(A170))</f>
        <v/>
      </c>
      <c r="D170" s="13"/>
      <c r="E170" s="13"/>
      <c r="F170" s="13"/>
      <c r="G170" s="17"/>
      <c r="H170" s="18"/>
      <c r="I170" s="19" t="str">
        <f aca="false">IF(G170="","",G170*H170)</f>
        <v/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customFormat="false" ht="15" hidden="false" customHeight="false" outlineLevel="0" collapsed="false">
      <c r="A171" s="16"/>
      <c r="B171" s="14" t="str">
        <f aca="false">IF(A171="","",MONTH(A171))</f>
        <v/>
      </c>
      <c r="C171" s="14" t="str">
        <f aca="false">IF(A171="","",YEAR(A171))</f>
        <v/>
      </c>
      <c r="D171" s="13"/>
      <c r="E171" s="13"/>
      <c r="F171" s="13"/>
      <c r="G171" s="17"/>
      <c r="H171" s="18"/>
      <c r="I171" s="19" t="str">
        <f aca="false">IF(G171="","",G171*H171)</f>
        <v/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customFormat="false" ht="15" hidden="false" customHeight="false" outlineLevel="0" collapsed="false">
      <c r="A172" s="16"/>
      <c r="B172" s="14" t="str">
        <f aca="false">IF(A172="","",MONTH(A172))</f>
        <v/>
      </c>
      <c r="C172" s="14" t="str">
        <f aca="false">IF(A172="","",YEAR(A172))</f>
        <v/>
      </c>
      <c r="D172" s="13"/>
      <c r="E172" s="13"/>
      <c r="F172" s="13"/>
      <c r="G172" s="17"/>
      <c r="H172" s="18"/>
      <c r="I172" s="19" t="str">
        <f aca="false">IF(G172="","",G172*H172)</f>
        <v/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customFormat="false" ht="15" hidden="false" customHeight="false" outlineLevel="0" collapsed="false">
      <c r="A173" s="16"/>
      <c r="B173" s="14" t="str">
        <f aca="false">IF(A173="","",MONTH(A173))</f>
        <v/>
      </c>
      <c r="C173" s="14" t="str">
        <f aca="false">IF(A173="","",YEAR(A173))</f>
        <v/>
      </c>
      <c r="D173" s="13"/>
      <c r="E173" s="13"/>
      <c r="F173" s="13"/>
      <c r="G173" s="17"/>
      <c r="H173" s="18"/>
      <c r="I173" s="19" t="str">
        <f aca="false">IF(G173="","",G173*H173)</f>
        <v/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customFormat="false" ht="15" hidden="false" customHeight="false" outlineLevel="0" collapsed="false">
      <c r="A174" s="16"/>
      <c r="B174" s="14" t="str">
        <f aca="false">IF(A174="","",MONTH(A174))</f>
        <v/>
      </c>
      <c r="C174" s="14" t="str">
        <f aca="false">IF(A174="","",YEAR(A174))</f>
        <v/>
      </c>
      <c r="D174" s="13"/>
      <c r="E174" s="13"/>
      <c r="F174" s="13"/>
      <c r="G174" s="17"/>
      <c r="H174" s="18"/>
      <c r="I174" s="19" t="str">
        <f aca="false">IF(G174="","",G174*H174)</f>
        <v/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customFormat="false" ht="15" hidden="false" customHeight="false" outlineLevel="0" collapsed="false">
      <c r="A175" s="16"/>
      <c r="B175" s="14" t="str">
        <f aca="false">IF(A175="","",MONTH(A175))</f>
        <v/>
      </c>
      <c r="C175" s="14" t="str">
        <f aca="false">IF(A175="","",YEAR(A175))</f>
        <v/>
      </c>
      <c r="D175" s="13"/>
      <c r="E175" s="13"/>
      <c r="F175" s="13"/>
      <c r="G175" s="17"/>
      <c r="H175" s="18"/>
      <c r="I175" s="19" t="str">
        <f aca="false">IF(G175="","",G175*H175)</f>
        <v/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customFormat="false" ht="15" hidden="false" customHeight="false" outlineLevel="0" collapsed="false">
      <c r="A176" s="16"/>
      <c r="B176" s="14" t="str">
        <f aca="false">IF(A176="","",MONTH(A176))</f>
        <v/>
      </c>
      <c r="C176" s="14" t="str">
        <f aca="false">IF(A176="","",YEAR(A176))</f>
        <v/>
      </c>
      <c r="D176" s="13"/>
      <c r="E176" s="13"/>
      <c r="F176" s="13"/>
      <c r="G176" s="17"/>
      <c r="H176" s="18"/>
      <c r="I176" s="19" t="str">
        <f aca="false">IF(G176="","",G176*H176)</f>
        <v/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customFormat="false" ht="15" hidden="false" customHeight="false" outlineLevel="0" collapsed="false">
      <c r="A177" s="16"/>
      <c r="B177" s="14" t="str">
        <f aca="false">IF(A177="","",MONTH(A177))</f>
        <v/>
      </c>
      <c r="C177" s="14" t="str">
        <f aca="false">IF(A177="","",YEAR(A177))</f>
        <v/>
      </c>
      <c r="D177" s="13"/>
      <c r="E177" s="13"/>
      <c r="F177" s="13"/>
      <c r="G177" s="17"/>
      <c r="H177" s="18"/>
      <c r="I177" s="19" t="str">
        <f aca="false">IF(G177="","",G177*H177)</f>
        <v/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customFormat="false" ht="15" hidden="false" customHeight="false" outlineLevel="0" collapsed="false">
      <c r="A178" s="16"/>
      <c r="B178" s="14" t="str">
        <f aca="false">IF(A178="","",MONTH(A178))</f>
        <v/>
      </c>
      <c r="C178" s="14" t="str">
        <f aca="false">IF(A178="","",YEAR(A178))</f>
        <v/>
      </c>
      <c r="D178" s="13"/>
      <c r="E178" s="13"/>
      <c r="F178" s="13"/>
      <c r="G178" s="17"/>
      <c r="H178" s="18"/>
      <c r="I178" s="19" t="str">
        <f aca="false">IF(G178="","",G178*H178)</f>
        <v/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customFormat="false" ht="15" hidden="false" customHeight="false" outlineLevel="0" collapsed="false">
      <c r="A179" s="16"/>
      <c r="B179" s="14" t="str">
        <f aca="false">IF(A179="","",MONTH(A179))</f>
        <v/>
      </c>
      <c r="C179" s="14" t="str">
        <f aca="false">IF(A179="","",YEAR(A179))</f>
        <v/>
      </c>
      <c r="D179" s="13"/>
      <c r="E179" s="13"/>
      <c r="F179" s="13"/>
      <c r="G179" s="17"/>
      <c r="H179" s="18"/>
      <c r="I179" s="19" t="str">
        <f aca="false">IF(G179="","",G179*H179)</f>
        <v/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customFormat="false" ht="15" hidden="false" customHeight="false" outlineLevel="0" collapsed="false">
      <c r="A180" s="16"/>
      <c r="B180" s="14" t="str">
        <f aca="false">IF(A180="","",MONTH(A180))</f>
        <v/>
      </c>
      <c r="C180" s="14" t="str">
        <f aca="false">IF(A180="","",YEAR(A180))</f>
        <v/>
      </c>
      <c r="D180" s="13"/>
      <c r="E180" s="13"/>
      <c r="F180" s="13"/>
      <c r="G180" s="17"/>
      <c r="H180" s="18"/>
      <c r="I180" s="19" t="str">
        <f aca="false">IF(G180="","",G180*H180)</f>
        <v/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customFormat="false" ht="15" hidden="false" customHeight="false" outlineLevel="0" collapsed="false">
      <c r="A181" s="16"/>
      <c r="B181" s="14" t="str">
        <f aca="false">IF(A181="","",MONTH(A181))</f>
        <v/>
      </c>
      <c r="C181" s="14" t="str">
        <f aca="false">IF(A181="","",YEAR(A181))</f>
        <v/>
      </c>
      <c r="D181" s="13"/>
      <c r="E181" s="13"/>
      <c r="F181" s="13"/>
      <c r="G181" s="17"/>
      <c r="H181" s="18"/>
      <c r="I181" s="19" t="str">
        <f aca="false">IF(G181="","",G181*H181)</f>
        <v/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customFormat="false" ht="15" hidden="false" customHeight="false" outlineLevel="0" collapsed="false">
      <c r="A182" s="16"/>
      <c r="B182" s="14" t="str">
        <f aca="false">IF(A182="","",MONTH(A182))</f>
        <v/>
      </c>
      <c r="C182" s="14" t="str">
        <f aca="false">IF(A182="","",YEAR(A182))</f>
        <v/>
      </c>
      <c r="D182" s="13"/>
      <c r="E182" s="13"/>
      <c r="F182" s="13"/>
      <c r="G182" s="17"/>
      <c r="H182" s="18"/>
      <c r="I182" s="19" t="str">
        <f aca="false">IF(G182="","",G182*H182)</f>
        <v/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customFormat="false" ht="15" hidden="false" customHeight="false" outlineLevel="0" collapsed="false">
      <c r="A183" s="16"/>
      <c r="B183" s="14" t="str">
        <f aca="false">IF(A183="","",MONTH(A183))</f>
        <v/>
      </c>
      <c r="C183" s="14" t="str">
        <f aca="false">IF(A183="","",YEAR(A183))</f>
        <v/>
      </c>
      <c r="D183" s="13"/>
      <c r="E183" s="13"/>
      <c r="F183" s="13"/>
      <c r="G183" s="17"/>
      <c r="H183" s="18"/>
      <c r="I183" s="19" t="str">
        <f aca="false">IF(G183="","",G183*H183)</f>
        <v/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customFormat="false" ht="15" hidden="false" customHeight="false" outlineLevel="0" collapsed="false">
      <c r="A184" s="16"/>
      <c r="B184" s="14" t="str">
        <f aca="false">IF(A184="","",MONTH(A184))</f>
        <v/>
      </c>
      <c r="C184" s="14" t="str">
        <f aca="false">IF(A184="","",YEAR(A184))</f>
        <v/>
      </c>
      <c r="D184" s="13"/>
      <c r="E184" s="13"/>
      <c r="F184" s="13"/>
      <c r="G184" s="17"/>
      <c r="H184" s="18"/>
      <c r="I184" s="19" t="str">
        <f aca="false">IF(G184="","",G184*H184)</f>
        <v/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customFormat="false" ht="15" hidden="false" customHeight="false" outlineLevel="0" collapsed="false">
      <c r="A185" s="16"/>
      <c r="B185" s="14" t="str">
        <f aca="false">IF(A185="","",MONTH(A185))</f>
        <v/>
      </c>
      <c r="C185" s="14" t="str">
        <f aca="false">IF(A185="","",YEAR(A185))</f>
        <v/>
      </c>
      <c r="D185" s="13"/>
      <c r="E185" s="13"/>
      <c r="F185" s="13"/>
      <c r="G185" s="17"/>
      <c r="H185" s="18"/>
      <c r="I185" s="19" t="str">
        <f aca="false">IF(G185="","",G185*H185)</f>
        <v/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customFormat="false" ht="15" hidden="false" customHeight="false" outlineLevel="0" collapsed="false">
      <c r="A186" s="16"/>
      <c r="B186" s="14" t="str">
        <f aca="false">IF(A186="","",MONTH(A186))</f>
        <v/>
      </c>
      <c r="C186" s="14" t="str">
        <f aca="false">IF(A186="","",YEAR(A186))</f>
        <v/>
      </c>
      <c r="D186" s="13"/>
      <c r="E186" s="13"/>
      <c r="F186" s="13"/>
      <c r="G186" s="17"/>
      <c r="H186" s="18"/>
      <c r="I186" s="19" t="str">
        <f aca="false">IF(G186="","",G186*H186)</f>
        <v/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customFormat="false" ht="15" hidden="false" customHeight="false" outlineLevel="0" collapsed="false">
      <c r="A187" s="16"/>
      <c r="B187" s="14" t="str">
        <f aca="false">IF(A187="","",MONTH(A187))</f>
        <v/>
      </c>
      <c r="C187" s="14" t="str">
        <f aca="false">IF(A187="","",YEAR(A187))</f>
        <v/>
      </c>
      <c r="D187" s="13"/>
      <c r="E187" s="13"/>
      <c r="F187" s="13"/>
      <c r="G187" s="17"/>
      <c r="H187" s="18"/>
      <c r="I187" s="19" t="str">
        <f aca="false">IF(G187="","",G187*H187)</f>
        <v/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customFormat="false" ht="15" hidden="false" customHeight="false" outlineLevel="0" collapsed="false">
      <c r="A188" s="16"/>
      <c r="B188" s="14" t="str">
        <f aca="false">IF(A188="","",MONTH(A188))</f>
        <v/>
      </c>
      <c r="C188" s="14" t="str">
        <f aca="false">IF(A188="","",YEAR(A188))</f>
        <v/>
      </c>
      <c r="D188" s="13"/>
      <c r="E188" s="13"/>
      <c r="F188" s="13"/>
      <c r="G188" s="17"/>
      <c r="H188" s="18"/>
      <c r="I188" s="19" t="str">
        <f aca="false">IF(G188="","",G188*H188)</f>
        <v/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customFormat="false" ht="15" hidden="false" customHeight="false" outlineLevel="0" collapsed="false">
      <c r="A189" s="16"/>
      <c r="B189" s="14" t="str">
        <f aca="false">IF(A189="","",MONTH(A189))</f>
        <v/>
      </c>
      <c r="C189" s="14" t="str">
        <f aca="false">IF(A189="","",YEAR(A189))</f>
        <v/>
      </c>
      <c r="D189" s="13"/>
      <c r="E189" s="13"/>
      <c r="F189" s="13"/>
      <c r="G189" s="17"/>
      <c r="H189" s="18"/>
      <c r="I189" s="19" t="str">
        <f aca="false">IF(G189="","",G189*H189)</f>
        <v/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customFormat="false" ht="15" hidden="false" customHeight="false" outlineLevel="0" collapsed="false">
      <c r="A190" s="16"/>
      <c r="B190" s="14" t="str">
        <f aca="false">IF(A190="","",MONTH(A190))</f>
        <v/>
      </c>
      <c r="C190" s="14" t="str">
        <f aca="false">IF(A190="","",YEAR(A190))</f>
        <v/>
      </c>
      <c r="D190" s="13"/>
      <c r="E190" s="13"/>
      <c r="F190" s="13"/>
      <c r="G190" s="17"/>
      <c r="H190" s="18"/>
      <c r="I190" s="19" t="str">
        <f aca="false">IF(G190="","",G190*H190)</f>
        <v/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customFormat="false" ht="15" hidden="false" customHeight="false" outlineLevel="0" collapsed="false">
      <c r="A191" s="16"/>
      <c r="B191" s="14" t="str">
        <f aca="false">IF(A191="","",MONTH(A191))</f>
        <v/>
      </c>
      <c r="C191" s="14" t="str">
        <f aca="false">IF(A191="","",YEAR(A191))</f>
        <v/>
      </c>
      <c r="D191" s="13"/>
      <c r="E191" s="13"/>
      <c r="F191" s="13"/>
      <c r="G191" s="17"/>
      <c r="H191" s="18"/>
      <c r="I191" s="19" t="str">
        <f aca="false">IF(G191="","",G191*H191)</f>
        <v/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customFormat="false" ht="15" hidden="false" customHeight="false" outlineLevel="0" collapsed="false">
      <c r="A192" s="16"/>
      <c r="B192" s="14" t="str">
        <f aca="false">IF(A192="","",MONTH(A192))</f>
        <v/>
      </c>
      <c r="C192" s="14" t="str">
        <f aca="false">IF(A192="","",YEAR(A192))</f>
        <v/>
      </c>
      <c r="D192" s="13"/>
      <c r="E192" s="13"/>
      <c r="F192" s="13"/>
      <c r="G192" s="17"/>
      <c r="H192" s="18"/>
      <c r="I192" s="19" t="str">
        <f aca="false">IF(G192="","",G192*H192)</f>
        <v/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customFormat="false" ht="15" hidden="false" customHeight="false" outlineLevel="0" collapsed="false">
      <c r="A193" s="16"/>
      <c r="B193" s="14" t="str">
        <f aca="false">IF(A193="","",MONTH(A193))</f>
        <v/>
      </c>
      <c r="C193" s="14" t="str">
        <f aca="false">IF(A193="","",YEAR(A193))</f>
        <v/>
      </c>
      <c r="D193" s="13"/>
      <c r="E193" s="13"/>
      <c r="F193" s="13"/>
      <c r="G193" s="17"/>
      <c r="H193" s="18"/>
      <c r="I193" s="19" t="str">
        <f aca="false">IF(G193="","",G193*H193)</f>
        <v/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customFormat="false" ht="15" hidden="false" customHeight="false" outlineLevel="0" collapsed="false">
      <c r="A194" s="16"/>
      <c r="B194" s="14" t="str">
        <f aca="false">IF(A194="","",MONTH(A194))</f>
        <v/>
      </c>
      <c r="C194" s="14" t="str">
        <f aca="false">IF(A194="","",YEAR(A194))</f>
        <v/>
      </c>
      <c r="D194" s="13"/>
      <c r="E194" s="13"/>
      <c r="F194" s="13"/>
      <c r="G194" s="17"/>
      <c r="H194" s="18"/>
      <c r="I194" s="19" t="str">
        <f aca="false">IF(G194="","",G194*H194)</f>
        <v/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customFormat="false" ht="15" hidden="false" customHeight="false" outlineLevel="0" collapsed="false">
      <c r="A195" s="16"/>
      <c r="B195" s="14" t="str">
        <f aca="false">IF(A195="","",MONTH(A195))</f>
        <v/>
      </c>
      <c r="C195" s="14" t="str">
        <f aca="false">IF(A195="","",YEAR(A195))</f>
        <v/>
      </c>
      <c r="D195" s="13"/>
      <c r="E195" s="13"/>
      <c r="F195" s="13"/>
      <c r="G195" s="17"/>
      <c r="H195" s="18"/>
      <c r="I195" s="19" t="str">
        <f aca="false">IF(G195="","",G195*H195)</f>
        <v/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customFormat="false" ht="15" hidden="false" customHeight="false" outlineLevel="0" collapsed="false">
      <c r="A196" s="16"/>
      <c r="B196" s="14" t="str">
        <f aca="false">IF(A196="","",MONTH(A196))</f>
        <v/>
      </c>
      <c r="C196" s="14" t="str">
        <f aca="false">IF(A196="","",YEAR(A196))</f>
        <v/>
      </c>
      <c r="D196" s="13"/>
      <c r="E196" s="13"/>
      <c r="F196" s="13"/>
      <c r="G196" s="17"/>
      <c r="H196" s="18"/>
      <c r="I196" s="19" t="str">
        <f aca="false">IF(G196="","",G196*H196)</f>
        <v/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customFormat="false" ht="15" hidden="false" customHeight="false" outlineLevel="0" collapsed="false">
      <c r="A197" s="16"/>
      <c r="B197" s="14" t="str">
        <f aca="false">IF(A197="","",MONTH(A197))</f>
        <v/>
      </c>
      <c r="C197" s="14" t="str">
        <f aca="false">IF(A197="","",YEAR(A197))</f>
        <v/>
      </c>
      <c r="D197" s="13"/>
      <c r="E197" s="13"/>
      <c r="F197" s="13"/>
      <c r="G197" s="17"/>
      <c r="H197" s="18"/>
      <c r="I197" s="19" t="str">
        <f aca="false">IF(G197="","",G197*H197)</f>
        <v/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customFormat="false" ht="15" hidden="false" customHeight="false" outlineLevel="0" collapsed="false">
      <c r="A198" s="16"/>
      <c r="B198" s="14" t="str">
        <f aca="false">IF(A198="","",MONTH(A198))</f>
        <v/>
      </c>
      <c r="C198" s="14" t="str">
        <f aca="false">IF(A198="","",YEAR(A198))</f>
        <v/>
      </c>
      <c r="D198" s="13"/>
      <c r="E198" s="13"/>
      <c r="F198" s="13"/>
      <c r="G198" s="17"/>
      <c r="H198" s="18"/>
      <c r="I198" s="19" t="str">
        <f aca="false">IF(G198="","",G198*H198)</f>
        <v/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customFormat="false" ht="15" hidden="false" customHeight="false" outlineLevel="0" collapsed="false">
      <c r="A199" s="16"/>
      <c r="B199" s="14" t="str">
        <f aca="false">IF(A199="","",MONTH(A199))</f>
        <v/>
      </c>
      <c r="C199" s="14" t="str">
        <f aca="false">IF(A199="","",YEAR(A199))</f>
        <v/>
      </c>
      <c r="D199" s="13"/>
      <c r="E199" s="13"/>
      <c r="F199" s="13"/>
      <c r="G199" s="17"/>
      <c r="H199" s="18"/>
      <c r="I199" s="19" t="str">
        <f aca="false">IF(G199="","",G199*H199)</f>
        <v/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customFormat="false" ht="15" hidden="false" customHeight="false" outlineLevel="0" collapsed="false">
      <c r="A200" s="16"/>
      <c r="B200" s="14" t="str">
        <f aca="false">IF(A200="","",MONTH(A200))</f>
        <v/>
      </c>
      <c r="C200" s="14" t="str">
        <f aca="false">IF(A200="","",YEAR(A200))</f>
        <v/>
      </c>
      <c r="D200" s="13"/>
      <c r="E200" s="13"/>
      <c r="F200" s="13"/>
      <c r="G200" s="17"/>
      <c r="H200" s="18"/>
      <c r="I200" s="19" t="str">
        <f aca="false">IF(G200="","",G200*H200)</f>
        <v/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customFormat="false" ht="15" hidden="false" customHeight="false" outlineLevel="0" collapsed="false">
      <c r="A201" s="16"/>
      <c r="B201" s="14" t="str">
        <f aca="false">IF(A201="","",MONTH(A201))</f>
        <v/>
      </c>
      <c r="C201" s="14" t="str">
        <f aca="false">IF(A201="","",YEAR(A201))</f>
        <v/>
      </c>
      <c r="D201" s="13"/>
      <c r="E201" s="13"/>
      <c r="F201" s="13"/>
      <c r="G201" s="17"/>
      <c r="H201" s="18"/>
      <c r="I201" s="19" t="str">
        <f aca="false">IF(G201="","",G201*H201)</f>
        <v/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customFormat="false" ht="15" hidden="false" customHeight="false" outlineLevel="0" collapsed="false">
      <c r="A202" s="16"/>
      <c r="B202" s="14" t="str">
        <f aca="false">IF(A202="","",MONTH(A202))</f>
        <v/>
      </c>
      <c r="C202" s="14" t="str">
        <f aca="false">IF(A202="","",YEAR(A202))</f>
        <v/>
      </c>
      <c r="D202" s="13"/>
      <c r="E202" s="13"/>
      <c r="F202" s="13"/>
      <c r="G202" s="17"/>
      <c r="H202" s="18"/>
      <c r="I202" s="19" t="str">
        <f aca="false">IF(G202="","",G202*H202)</f>
        <v/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customFormat="false" ht="15" hidden="false" customHeight="false" outlineLevel="0" collapsed="false">
      <c r="A203" s="16"/>
      <c r="B203" s="14" t="str">
        <f aca="false">IF(A203="","",MONTH(A203))</f>
        <v/>
      </c>
      <c r="C203" s="14" t="str">
        <f aca="false">IF(A203="","",YEAR(A203))</f>
        <v/>
      </c>
      <c r="D203" s="13"/>
      <c r="E203" s="13"/>
      <c r="F203" s="13"/>
      <c r="G203" s="17"/>
      <c r="H203" s="18"/>
      <c r="I203" s="19" t="str">
        <f aca="false">IF(G203="","",G203*H203)</f>
        <v/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customFormat="false" ht="15" hidden="false" customHeight="false" outlineLevel="0" collapsed="false">
      <c r="A204" s="16"/>
      <c r="B204" s="14" t="str">
        <f aca="false">IF(A204="","",MONTH(A204))</f>
        <v/>
      </c>
      <c r="C204" s="14" t="str">
        <f aca="false">IF(A204="","",YEAR(A204))</f>
        <v/>
      </c>
      <c r="D204" s="13"/>
      <c r="E204" s="13"/>
      <c r="F204" s="13"/>
      <c r="G204" s="17"/>
      <c r="H204" s="18"/>
      <c r="I204" s="19" t="str">
        <f aca="false">IF(G204="","",G204*H204)</f>
        <v/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customFormat="false" ht="15" hidden="false" customHeight="false" outlineLevel="0" collapsed="false">
      <c r="A205" s="16"/>
      <c r="B205" s="14" t="str">
        <f aca="false">IF(A205="","",MONTH(A205))</f>
        <v/>
      </c>
      <c r="C205" s="14" t="str">
        <f aca="false">IF(A205="","",YEAR(A205))</f>
        <v/>
      </c>
      <c r="D205" s="13"/>
      <c r="E205" s="13"/>
      <c r="F205" s="13"/>
      <c r="G205" s="17"/>
      <c r="H205" s="18"/>
      <c r="I205" s="19" t="str">
        <f aca="false">IF(G205="","",G205*H205)</f>
        <v/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customFormat="false" ht="15" hidden="false" customHeight="false" outlineLevel="0" collapsed="false">
      <c r="A206" s="16"/>
      <c r="B206" s="14" t="str">
        <f aca="false">IF(A206="","",MONTH(A206))</f>
        <v/>
      </c>
      <c r="C206" s="14" t="str">
        <f aca="false">IF(A206="","",YEAR(A206))</f>
        <v/>
      </c>
      <c r="D206" s="13"/>
      <c r="E206" s="13"/>
      <c r="F206" s="13"/>
      <c r="G206" s="17"/>
      <c r="H206" s="18"/>
      <c r="I206" s="19" t="str">
        <f aca="false">IF(G206="","",G206*H206)</f>
        <v/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customFormat="false" ht="15" hidden="false" customHeight="false" outlineLevel="0" collapsed="false">
      <c r="A207" s="16"/>
      <c r="B207" s="14" t="str">
        <f aca="false">IF(A207="","",MONTH(A207))</f>
        <v/>
      </c>
      <c r="C207" s="14" t="str">
        <f aca="false">IF(A207="","",YEAR(A207))</f>
        <v/>
      </c>
      <c r="D207" s="13"/>
      <c r="E207" s="13"/>
      <c r="F207" s="13"/>
      <c r="G207" s="17"/>
      <c r="H207" s="18"/>
      <c r="I207" s="19" t="str">
        <f aca="false">IF(G207="","",G207*H207)</f>
        <v/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customFormat="false" ht="15" hidden="false" customHeight="false" outlineLevel="0" collapsed="false">
      <c r="A208" s="16"/>
      <c r="B208" s="14" t="str">
        <f aca="false">IF(A208="","",MONTH(A208))</f>
        <v/>
      </c>
      <c r="C208" s="14" t="str">
        <f aca="false">IF(A208="","",YEAR(A208))</f>
        <v/>
      </c>
      <c r="D208" s="13"/>
      <c r="E208" s="13"/>
      <c r="F208" s="13"/>
      <c r="G208" s="17"/>
      <c r="H208" s="18"/>
      <c r="I208" s="19" t="str">
        <f aca="false">IF(G208="","",G208*H208)</f>
        <v/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customFormat="false" ht="15" hidden="false" customHeight="false" outlineLevel="0" collapsed="false">
      <c r="A209" s="16"/>
      <c r="B209" s="14" t="str">
        <f aca="false">IF(A209="","",MONTH(A209))</f>
        <v/>
      </c>
      <c r="C209" s="14" t="str">
        <f aca="false">IF(A209="","",YEAR(A209))</f>
        <v/>
      </c>
      <c r="D209" s="13"/>
      <c r="E209" s="13"/>
      <c r="F209" s="13"/>
      <c r="G209" s="17"/>
      <c r="H209" s="18"/>
      <c r="I209" s="19" t="str">
        <f aca="false">IF(G209="","",G209*H209)</f>
        <v/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customFormat="false" ht="15" hidden="false" customHeight="false" outlineLevel="0" collapsed="false">
      <c r="A210" s="16"/>
      <c r="B210" s="14" t="str">
        <f aca="false">IF(A210="","",MONTH(A210))</f>
        <v/>
      </c>
      <c r="C210" s="14" t="str">
        <f aca="false">IF(A210="","",YEAR(A210))</f>
        <v/>
      </c>
      <c r="D210" s="13"/>
      <c r="E210" s="13"/>
      <c r="F210" s="13"/>
      <c r="G210" s="17"/>
      <c r="H210" s="18"/>
      <c r="I210" s="19" t="str">
        <f aca="false">IF(G210="","",G210*H210)</f>
        <v/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customFormat="false" ht="15" hidden="false" customHeight="false" outlineLevel="0" collapsed="false">
      <c r="A211" s="16"/>
      <c r="B211" s="14" t="str">
        <f aca="false">IF(A211="","",MONTH(A211))</f>
        <v/>
      </c>
      <c r="C211" s="14" t="str">
        <f aca="false">IF(A211="","",YEAR(A211))</f>
        <v/>
      </c>
      <c r="D211" s="13"/>
      <c r="E211" s="13"/>
      <c r="F211" s="13"/>
      <c r="G211" s="17"/>
      <c r="H211" s="18"/>
      <c r="I211" s="19" t="str">
        <f aca="false">IF(G211="","",G211*H211)</f>
        <v/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customFormat="false" ht="15" hidden="false" customHeight="false" outlineLevel="0" collapsed="false">
      <c r="A212" s="16"/>
      <c r="B212" s="14" t="str">
        <f aca="false">IF(A212="","",MONTH(A212))</f>
        <v/>
      </c>
      <c r="C212" s="14" t="str">
        <f aca="false">IF(A212="","",YEAR(A212))</f>
        <v/>
      </c>
      <c r="D212" s="13"/>
      <c r="E212" s="13"/>
      <c r="F212" s="13"/>
      <c r="G212" s="17"/>
      <c r="H212" s="18"/>
      <c r="I212" s="19" t="str">
        <f aca="false">IF(G212="","",G212*H212)</f>
        <v/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customFormat="false" ht="15" hidden="false" customHeight="false" outlineLevel="0" collapsed="false">
      <c r="A213" s="16"/>
      <c r="B213" s="14" t="str">
        <f aca="false">IF(A213="","",MONTH(A213))</f>
        <v/>
      </c>
      <c r="C213" s="14" t="str">
        <f aca="false">IF(A213="","",YEAR(A213))</f>
        <v/>
      </c>
      <c r="D213" s="13"/>
      <c r="E213" s="13"/>
      <c r="F213" s="13"/>
      <c r="G213" s="17"/>
      <c r="H213" s="18"/>
      <c r="I213" s="19" t="str">
        <f aca="false">IF(G213="","",G213*H213)</f>
        <v/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customFormat="false" ht="15" hidden="false" customHeight="false" outlineLevel="0" collapsed="false">
      <c r="A214" s="16"/>
      <c r="B214" s="14" t="str">
        <f aca="false">IF(A214="","",MONTH(A214))</f>
        <v/>
      </c>
      <c r="C214" s="14" t="str">
        <f aca="false">IF(A214="","",YEAR(A214))</f>
        <v/>
      </c>
      <c r="D214" s="13"/>
      <c r="E214" s="13"/>
      <c r="F214" s="13"/>
      <c r="G214" s="17"/>
      <c r="H214" s="18"/>
      <c r="I214" s="19" t="str">
        <f aca="false">IF(G214="","",G214*H214)</f>
        <v/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customFormat="false" ht="15" hidden="false" customHeight="false" outlineLevel="0" collapsed="false">
      <c r="A215" s="16"/>
      <c r="B215" s="14" t="str">
        <f aca="false">IF(A215="","",MONTH(A215))</f>
        <v/>
      </c>
      <c r="C215" s="14" t="str">
        <f aca="false">IF(A215="","",YEAR(A215))</f>
        <v/>
      </c>
      <c r="D215" s="13"/>
      <c r="E215" s="13"/>
      <c r="F215" s="13"/>
      <c r="G215" s="17"/>
      <c r="H215" s="18"/>
      <c r="I215" s="19" t="str">
        <f aca="false">IF(G215="","",G215*H215)</f>
        <v/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customFormat="false" ht="15" hidden="false" customHeight="false" outlineLevel="0" collapsed="false">
      <c r="A216" s="16"/>
      <c r="B216" s="14" t="str">
        <f aca="false">IF(A216="","",MONTH(A216))</f>
        <v/>
      </c>
      <c r="C216" s="14" t="str">
        <f aca="false">IF(A216="","",YEAR(A216))</f>
        <v/>
      </c>
      <c r="D216" s="13"/>
      <c r="E216" s="13"/>
      <c r="F216" s="13"/>
      <c r="G216" s="17"/>
      <c r="H216" s="18"/>
      <c r="I216" s="19" t="str">
        <f aca="false">IF(G216="","",G216*H216)</f>
        <v/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customFormat="false" ht="15" hidden="false" customHeight="false" outlineLevel="0" collapsed="false">
      <c r="A217" s="16"/>
      <c r="B217" s="14" t="str">
        <f aca="false">IF(A217="","",MONTH(A217))</f>
        <v/>
      </c>
      <c r="C217" s="14" t="str">
        <f aca="false">IF(A217="","",YEAR(A217))</f>
        <v/>
      </c>
      <c r="D217" s="13"/>
      <c r="E217" s="13"/>
      <c r="F217" s="13"/>
      <c r="G217" s="17"/>
      <c r="H217" s="18"/>
      <c r="I217" s="19" t="str">
        <f aca="false">IF(G217="","",G217*H217)</f>
        <v/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customFormat="false" ht="15" hidden="false" customHeight="false" outlineLevel="0" collapsed="false">
      <c r="A218" s="16"/>
      <c r="B218" s="14" t="str">
        <f aca="false">IF(A218="","",MONTH(A218))</f>
        <v/>
      </c>
      <c r="C218" s="14" t="str">
        <f aca="false">IF(A218="","",YEAR(A218))</f>
        <v/>
      </c>
      <c r="D218" s="13"/>
      <c r="E218" s="13"/>
      <c r="F218" s="13"/>
      <c r="G218" s="17"/>
      <c r="H218" s="18"/>
      <c r="I218" s="19" t="str">
        <f aca="false">IF(G218="","",G218*H218)</f>
        <v/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customFormat="false" ht="15" hidden="false" customHeight="false" outlineLevel="0" collapsed="false">
      <c r="A219" s="16"/>
      <c r="B219" s="14" t="str">
        <f aca="false">IF(A219="","",MONTH(A219))</f>
        <v/>
      </c>
      <c r="C219" s="14" t="str">
        <f aca="false">IF(A219="","",YEAR(A219))</f>
        <v/>
      </c>
      <c r="D219" s="13"/>
      <c r="E219" s="13"/>
      <c r="F219" s="13"/>
      <c r="G219" s="17"/>
      <c r="H219" s="18"/>
      <c r="I219" s="19" t="str">
        <f aca="false">IF(G219="","",G219*H219)</f>
        <v/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customFormat="false" ht="15" hidden="false" customHeight="false" outlineLevel="0" collapsed="false">
      <c r="A220" s="16"/>
      <c r="B220" s="14" t="str">
        <f aca="false">IF(A220="","",MONTH(A220))</f>
        <v/>
      </c>
      <c r="C220" s="14" t="str">
        <f aca="false">IF(A220="","",YEAR(A220))</f>
        <v/>
      </c>
      <c r="D220" s="13"/>
      <c r="E220" s="13"/>
      <c r="F220" s="13"/>
      <c r="G220" s="17"/>
      <c r="H220" s="18"/>
      <c r="I220" s="19" t="str">
        <f aca="false">IF(G220="","",G220*H220)</f>
        <v/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customFormat="false" ht="15" hidden="false" customHeight="false" outlineLevel="0" collapsed="false">
      <c r="A221" s="16"/>
      <c r="B221" s="14" t="str">
        <f aca="false">IF(A221="","",MONTH(A221))</f>
        <v/>
      </c>
      <c r="C221" s="14" t="str">
        <f aca="false">IF(A221="","",YEAR(A221))</f>
        <v/>
      </c>
      <c r="D221" s="13"/>
      <c r="E221" s="13"/>
      <c r="F221" s="13"/>
      <c r="G221" s="17"/>
      <c r="H221" s="18"/>
      <c r="I221" s="19" t="str">
        <f aca="false">IF(G221="","",G221*H221)</f>
        <v/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customFormat="false" ht="15" hidden="false" customHeight="false" outlineLevel="0" collapsed="false">
      <c r="A222" s="16"/>
      <c r="B222" s="14" t="str">
        <f aca="false">IF(A222="","",MONTH(A222))</f>
        <v/>
      </c>
      <c r="C222" s="14" t="str">
        <f aca="false">IF(A222="","",YEAR(A222))</f>
        <v/>
      </c>
      <c r="D222" s="13"/>
      <c r="E222" s="13"/>
      <c r="F222" s="13"/>
      <c r="G222" s="17"/>
      <c r="H222" s="18"/>
      <c r="I222" s="19" t="str">
        <f aca="false">IF(G222="","",G222*H222)</f>
        <v/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customFormat="false" ht="15" hidden="false" customHeight="false" outlineLevel="0" collapsed="false">
      <c r="A223" s="16"/>
      <c r="B223" s="14" t="str">
        <f aca="false">IF(A223="","",MONTH(A223))</f>
        <v/>
      </c>
      <c r="C223" s="14" t="str">
        <f aca="false">IF(A223="","",YEAR(A223))</f>
        <v/>
      </c>
      <c r="D223" s="13"/>
      <c r="E223" s="13"/>
      <c r="F223" s="13"/>
      <c r="G223" s="17"/>
      <c r="H223" s="18"/>
      <c r="I223" s="19" t="str">
        <f aca="false">IF(G223="","",G223*H223)</f>
        <v/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customFormat="false" ht="15" hidden="false" customHeight="false" outlineLevel="0" collapsed="false">
      <c r="A224" s="16"/>
      <c r="B224" s="14" t="str">
        <f aca="false">IF(A224="","",MONTH(A224))</f>
        <v/>
      </c>
      <c r="C224" s="14" t="str">
        <f aca="false">IF(A224="","",YEAR(A224))</f>
        <v/>
      </c>
      <c r="D224" s="13"/>
      <c r="E224" s="13"/>
      <c r="F224" s="13"/>
      <c r="G224" s="17"/>
      <c r="H224" s="18"/>
      <c r="I224" s="19" t="str">
        <f aca="false">IF(G224="","",G224*H224)</f>
        <v/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customFormat="false" ht="15" hidden="false" customHeight="false" outlineLevel="0" collapsed="false">
      <c r="A225" s="16"/>
      <c r="B225" s="14" t="str">
        <f aca="false">IF(A225="","",MONTH(A225))</f>
        <v/>
      </c>
      <c r="C225" s="14" t="str">
        <f aca="false">IF(A225="","",YEAR(A225))</f>
        <v/>
      </c>
      <c r="D225" s="13"/>
      <c r="E225" s="13"/>
      <c r="F225" s="13"/>
      <c r="G225" s="17"/>
      <c r="H225" s="18"/>
      <c r="I225" s="19" t="str">
        <f aca="false">IF(G225="","",G225*H225)</f>
        <v/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customFormat="false" ht="15" hidden="false" customHeight="false" outlineLevel="0" collapsed="false">
      <c r="A226" s="16"/>
      <c r="B226" s="14" t="str">
        <f aca="false">IF(A226="","",MONTH(A226))</f>
        <v/>
      </c>
      <c r="C226" s="14" t="str">
        <f aca="false">IF(A226="","",YEAR(A226))</f>
        <v/>
      </c>
      <c r="D226" s="13"/>
      <c r="E226" s="13"/>
      <c r="F226" s="13"/>
      <c r="G226" s="17"/>
      <c r="H226" s="18"/>
      <c r="I226" s="19" t="str">
        <f aca="false">IF(G226="","",G226*H226)</f>
        <v/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customFormat="false" ht="15" hidden="false" customHeight="false" outlineLevel="0" collapsed="false">
      <c r="A227" s="16"/>
      <c r="B227" s="14" t="str">
        <f aca="false">IF(A227="","",MONTH(A227))</f>
        <v/>
      </c>
      <c r="C227" s="14" t="str">
        <f aca="false">IF(A227="","",YEAR(A227))</f>
        <v/>
      </c>
      <c r="D227" s="13"/>
      <c r="E227" s="13"/>
      <c r="F227" s="13"/>
      <c r="G227" s="17"/>
      <c r="H227" s="18"/>
      <c r="I227" s="19" t="str">
        <f aca="false">IF(G227="","",G227*H227)</f>
        <v/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customFormat="false" ht="15" hidden="false" customHeight="false" outlineLevel="0" collapsed="false">
      <c r="A228" s="16"/>
      <c r="B228" s="14" t="str">
        <f aca="false">IF(A228="","",MONTH(A228))</f>
        <v/>
      </c>
      <c r="C228" s="14" t="str">
        <f aca="false">IF(A228="","",YEAR(A228))</f>
        <v/>
      </c>
      <c r="D228" s="13"/>
      <c r="E228" s="13"/>
      <c r="F228" s="13"/>
      <c r="G228" s="17"/>
      <c r="H228" s="18"/>
      <c r="I228" s="19" t="str">
        <f aca="false">IF(G228="","",G228*H228)</f>
        <v/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customFormat="false" ht="15" hidden="false" customHeight="false" outlineLevel="0" collapsed="false">
      <c r="A229" s="16"/>
      <c r="B229" s="14" t="str">
        <f aca="false">IF(A229="","",MONTH(A229))</f>
        <v/>
      </c>
      <c r="C229" s="14" t="str">
        <f aca="false">IF(A229="","",YEAR(A229))</f>
        <v/>
      </c>
      <c r="D229" s="13"/>
      <c r="E229" s="13"/>
      <c r="F229" s="13"/>
      <c r="G229" s="17"/>
      <c r="H229" s="18"/>
      <c r="I229" s="19" t="str">
        <f aca="false">IF(G229="","",G229*H229)</f>
        <v/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customFormat="false" ht="15" hidden="false" customHeight="false" outlineLevel="0" collapsed="false">
      <c r="A230" s="16"/>
      <c r="B230" s="14" t="str">
        <f aca="false">IF(A230="","",MONTH(A230))</f>
        <v/>
      </c>
      <c r="C230" s="14" t="str">
        <f aca="false">IF(A230="","",YEAR(A230))</f>
        <v/>
      </c>
      <c r="D230" s="13"/>
      <c r="E230" s="13"/>
      <c r="F230" s="13"/>
      <c r="G230" s="17"/>
      <c r="H230" s="18"/>
      <c r="I230" s="19" t="str">
        <f aca="false">IF(G230="","",G230*H230)</f>
        <v/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customFormat="false" ht="15" hidden="false" customHeight="false" outlineLevel="0" collapsed="false">
      <c r="A231" s="16"/>
      <c r="B231" s="14" t="str">
        <f aca="false">IF(A231="","",MONTH(A231))</f>
        <v/>
      </c>
      <c r="C231" s="14" t="str">
        <f aca="false">IF(A231="","",YEAR(A231))</f>
        <v/>
      </c>
      <c r="D231" s="13"/>
      <c r="E231" s="13"/>
      <c r="F231" s="13"/>
      <c r="G231" s="17"/>
      <c r="H231" s="18"/>
      <c r="I231" s="19" t="str">
        <f aca="false">IF(G231="","",G231*H231)</f>
        <v/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customFormat="false" ht="15" hidden="false" customHeight="false" outlineLevel="0" collapsed="false">
      <c r="A232" s="16"/>
      <c r="B232" s="14" t="str">
        <f aca="false">IF(A232="","",MONTH(A232))</f>
        <v/>
      </c>
      <c r="C232" s="14" t="str">
        <f aca="false">IF(A232="","",YEAR(A232))</f>
        <v/>
      </c>
      <c r="D232" s="13"/>
      <c r="E232" s="13"/>
      <c r="F232" s="13"/>
      <c r="G232" s="17"/>
      <c r="H232" s="18"/>
      <c r="I232" s="19" t="str">
        <f aca="false">IF(G232="","",G232*H232)</f>
        <v/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customFormat="false" ht="15" hidden="false" customHeight="false" outlineLevel="0" collapsed="false">
      <c r="A233" s="16"/>
      <c r="B233" s="14" t="str">
        <f aca="false">IF(A233="","",MONTH(A233))</f>
        <v/>
      </c>
      <c r="C233" s="14" t="str">
        <f aca="false">IF(A233="","",YEAR(A233))</f>
        <v/>
      </c>
      <c r="D233" s="13"/>
      <c r="E233" s="13"/>
      <c r="F233" s="13"/>
      <c r="G233" s="17"/>
      <c r="H233" s="18"/>
      <c r="I233" s="19" t="str">
        <f aca="false">IF(G233="","",G233*H233)</f>
        <v/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customFormat="false" ht="15" hidden="false" customHeight="false" outlineLevel="0" collapsed="false">
      <c r="A234" s="16"/>
      <c r="B234" s="14" t="str">
        <f aca="false">IF(A234="","",MONTH(A234))</f>
        <v/>
      </c>
      <c r="C234" s="14" t="str">
        <f aca="false">IF(A234="","",YEAR(A234))</f>
        <v/>
      </c>
      <c r="D234" s="13"/>
      <c r="E234" s="13"/>
      <c r="F234" s="13"/>
      <c r="G234" s="17"/>
      <c r="H234" s="18"/>
      <c r="I234" s="19" t="str">
        <f aca="false">IF(G234="","",G234*H234)</f>
        <v/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customFormat="false" ht="15" hidden="false" customHeight="false" outlineLevel="0" collapsed="false">
      <c r="A235" s="16"/>
      <c r="B235" s="14" t="str">
        <f aca="false">IF(A235="","",MONTH(A235))</f>
        <v/>
      </c>
      <c r="C235" s="14" t="str">
        <f aca="false">IF(A235="","",YEAR(A235))</f>
        <v/>
      </c>
      <c r="D235" s="13"/>
      <c r="E235" s="13"/>
      <c r="F235" s="13"/>
      <c r="G235" s="17"/>
      <c r="H235" s="18"/>
      <c r="I235" s="19" t="str">
        <f aca="false">IF(G235="","",G235*H235)</f>
        <v/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customFormat="false" ht="15" hidden="false" customHeight="false" outlineLevel="0" collapsed="false">
      <c r="A236" s="16"/>
      <c r="B236" s="14" t="str">
        <f aca="false">IF(A236="","",MONTH(A236))</f>
        <v/>
      </c>
      <c r="C236" s="14" t="str">
        <f aca="false">IF(A236="","",YEAR(A236))</f>
        <v/>
      </c>
      <c r="D236" s="13"/>
      <c r="E236" s="13"/>
      <c r="F236" s="13"/>
      <c r="G236" s="17"/>
      <c r="H236" s="18"/>
      <c r="I236" s="19" t="str">
        <f aca="false">IF(G236="","",G236*H236)</f>
        <v/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customFormat="false" ht="15" hidden="false" customHeight="false" outlineLevel="0" collapsed="false">
      <c r="A237" s="16"/>
      <c r="B237" s="14" t="str">
        <f aca="false">IF(A237="","",MONTH(A237))</f>
        <v/>
      </c>
      <c r="C237" s="14" t="str">
        <f aca="false">IF(A237="","",YEAR(A237))</f>
        <v/>
      </c>
      <c r="D237" s="13"/>
      <c r="E237" s="13"/>
      <c r="F237" s="13"/>
      <c r="G237" s="17"/>
      <c r="H237" s="18"/>
      <c r="I237" s="19" t="str">
        <f aca="false">IF(G237="","",G237*H237)</f>
        <v/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customFormat="false" ht="15" hidden="false" customHeight="false" outlineLevel="0" collapsed="false">
      <c r="A238" s="16"/>
      <c r="B238" s="14" t="str">
        <f aca="false">IF(A238="","",MONTH(A238))</f>
        <v/>
      </c>
      <c r="C238" s="14" t="str">
        <f aca="false">IF(A238="","",YEAR(A238))</f>
        <v/>
      </c>
      <c r="D238" s="13"/>
      <c r="E238" s="13"/>
      <c r="F238" s="13"/>
      <c r="G238" s="17"/>
      <c r="H238" s="18"/>
      <c r="I238" s="19" t="str">
        <f aca="false">IF(G238="","",G238*H238)</f>
        <v/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customFormat="false" ht="15" hidden="false" customHeight="false" outlineLevel="0" collapsed="false">
      <c r="A239" s="16"/>
      <c r="B239" s="14" t="str">
        <f aca="false">IF(A239="","",MONTH(A239))</f>
        <v/>
      </c>
      <c r="C239" s="14" t="str">
        <f aca="false">IF(A239="","",YEAR(A239))</f>
        <v/>
      </c>
      <c r="D239" s="13"/>
      <c r="E239" s="13"/>
      <c r="F239" s="13"/>
      <c r="G239" s="17"/>
      <c r="H239" s="18"/>
      <c r="I239" s="19" t="str">
        <f aca="false">IF(G239="","",G239*H239)</f>
        <v/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customFormat="false" ht="15" hidden="false" customHeight="false" outlineLevel="0" collapsed="false">
      <c r="A240" s="16"/>
      <c r="B240" s="14" t="str">
        <f aca="false">IF(A240="","",MONTH(A240))</f>
        <v/>
      </c>
      <c r="C240" s="14" t="str">
        <f aca="false">IF(A240="","",YEAR(A240))</f>
        <v/>
      </c>
      <c r="D240" s="13"/>
      <c r="E240" s="13"/>
      <c r="F240" s="13"/>
      <c r="G240" s="17"/>
      <c r="H240" s="18"/>
      <c r="I240" s="19" t="str">
        <f aca="false">IF(G240="","",G240*H240)</f>
        <v/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customFormat="false" ht="15" hidden="false" customHeight="false" outlineLevel="0" collapsed="false">
      <c r="A241" s="16"/>
      <c r="B241" s="14" t="str">
        <f aca="false">IF(A241="","",MONTH(A241))</f>
        <v/>
      </c>
      <c r="C241" s="14" t="str">
        <f aca="false">IF(A241="","",YEAR(A241))</f>
        <v/>
      </c>
      <c r="D241" s="13"/>
      <c r="E241" s="13"/>
      <c r="F241" s="13"/>
      <c r="G241" s="17"/>
      <c r="H241" s="18"/>
      <c r="I241" s="19" t="str">
        <f aca="false">IF(G241="","",G241*H241)</f>
        <v/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customFormat="false" ht="15" hidden="false" customHeight="false" outlineLevel="0" collapsed="false">
      <c r="A242" s="16"/>
      <c r="B242" s="14" t="str">
        <f aca="false">IF(A242="","",MONTH(A242))</f>
        <v/>
      </c>
      <c r="C242" s="14" t="str">
        <f aca="false">IF(A242="","",YEAR(A242))</f>
        <v/>
      </c>
      <c r="D242" s="13"/>
      <c r="E242" s="13"/>
      <c r="F242" s="13"/>
      <c r="G242" s="17"/>
      <c r="H242" s="18"/>
      <c r="I242" s="19" t="str">
        <f aca="false">IF(G242="","",G242*H242)</f>
        <v/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customFormat="false" ht="15" hidden="false" customHeight="false" outlineLevel="0" collapsed="false">
      <c r="A243" s="16"/>
      <c r="B243" s="14" t="str">
        <f aca="false">IF(A243="","",MONTH(A243))</f>
        <v/>
      </c>
      <c r="C243" s="14" t="str">
        <f aca="false">IF(A243="","",YEAR(A243))</f>
        <v/>
      </c>
      <c r="D243" s="13"/>
      <c r="E243" s="13"/>
      <c r="F243" s="13"/>
      <c r="G243" s="17"/>
      <c r="H243" s="18"/>
      <c r="I243" s="19" t="str">
        <f aca="false">IF(G243="","",G243*H243)</f>
        <v/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customFormat="false" ht="15" hidden="false" customHeight="false" outlineLevel="0" collapsed="false">
      <c r="A244" s="16"/>
      <c r="B244" s="14" t="str">
        <f aca="false">IF(A244="","",MONTH(A244))</f>
        <v/>
      </c>
      <c r="C244" s="14" t="str">
        <f aca="false">IF(A244="","",YEAR(A244))</f>
        <v/>
      </c>
      <c r="D244" s="13"/>
      <c r="E244" s="13"/>
      <c r="F244" s="13"/>
      <c r="G244" s="17"/>
      <c r="H244" s="18"/>
      <c r="I244" s="19" t="str">
        <f aca="false">IF(G244="","",G244*H244)</f>
        <v/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customFormat="false" ht="15" hidden="false" customHeight="false" outlineLevel="0" collapsed="false">
      <c r="A245" s="16"/>
      <c r="B245" s="14" t="str">
        <f aca="false">IF(A245="","",MONTH(A245))</f>
        <v/>
      </c>
      <c r="C245" s="14" t="str">
        <f aca="false">IF(A245="","",YEAR(A245))</f>
        <v/>
      </c>
      <c r="D245" s="13"/>
      <c r="E245" s="13"/>
      <c r="F245" s="13"/>
      <c r="G245" s="17"/>
      <c r="H245" s="18"/>
      <c r="I245" s="19" t="str">
        <f aca="false">IF(G245="","",G245*H245)</f>
        <v/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customFormat="false" ht="15" hidden="false" customHeight="false" outlineLevel="0" collapsed="false">
      <c r="A246" s="16"/>
      <c r="B246" s="14" t="str">
        <f aca="false">IF(A246="","",MONTH(A246))</f>
        <v/>
      </c>
      <c r="C246" s="14" t="str">
        <f aca="false">IF(A246="","",YEAR(A246))</f>
        <v/>
      </c>
      <c r="D246" s="13"/>
      <c r="E246" s="13"/>
      <c r="F246" s="13"/>
      <c r="G246" s="17"/>
      <c r="H246" s="18"/>
      <c r="I246" s="19" t="str">
        <f aca="false">IF(G246="","",G246*H246)</f>
        <v/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customFormat="false" ht="15" hidden="false" customHeight="false" outlineLevel="0" collapsed="false">
      <c r="A247" s="16"/>
      <c r="B247" s="14" t="str">
        <f aca="false">IF(A247="","",MONTH(A247))</f>
        <v/>
      </c>
      <c r="C247" s="14" t="str">
        <f aca="false">IF(A247="","",YEAR(A247))</f>
        <v/>
      </c>
      <c r="D247" s="13"/>
      <c r="E247" s="13"/>
      <c r="F247" s="13"/>
      <c r="G247" s="17"/>
      <c r="H247" s="18"/>
      <c r="I247" s="19" t="str">
        <f aca="false">IF(G247="","",G247*H247)</f>
        <v/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customFormat="false" ht="15" hidden="false" customHeight="false" outlineLevel="0" collapsed="false">
      <c r="A248" s="16"/>
      <c r="B248" s="14" t="str">
        <f aca="false">IF(A248="","",MONTH(A248))</f>
        <v/>
      </c>
      <c r="C248" s="14" t="str">
        <f aca="false">IF(A248="","",YEAR(A248))</f>
        <v/>
      </c>
      <c r="D248" s="13"/>
      <c r="E248" s="13"/>
      <c r="F248" s="13"/>
      <c r="G248" s="17"/>
      <c r="H248" s="18"/>
      <c r="I248" s="19" t="str">
        <f aca="false">IF(G248="","",G248*H248)</f>
        <v/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customFormat="false" ht="15" hidden="false" customHeight="false" outlineLevel="0" collapsed="false">
      <c r="A249" s="16"/>
      <c r="B249" s="14" t="str">
        <f aca="false">IF(A249="","",MONTH(A249))</f>
        <v/>
      </c>
      <c r="C249" s="14" t="str">
        <f aca="false">IF(A249="","",YEAR(A249))</f>
        <v/>
      </c>
      <c r="D249" s="13"/>
      <c r="E249" s="13"/>
      <c r="F249" s="13"/>
      <c r="G249" s="17"/>
      <c r="H249" s="18"/>
      <c r="I249" s="19" t="str">
        <f aca="false">IF(G249="","",G249*H249)</f>
        <v/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customFormat="false" ht="15" hidden="false" customHeight="false" outlineLevel="0" collapsed="false">
      <c r="A250" s="16"/>
      <c r="B250" s="14" t="str">
        <f aca="false">IF(A250="","",MONTH(A250))</f>
        <v/>
      </c>
      <c r="C250" s="14" t="str">
        <f aca="false">IF(A250="","",YEAR(A250))</f>
        <v/>
      </c>
      <c r="D250" s="13"/>
      <c r="E250" s="13"/>
      <c r="F250" s="13"/>
      <c r="G250" s="17"/>
      <c r="H250" s="18"/>
      <c r="I250" s="19" t="str">
        <f aca="false">IF(G250="","",G250*H250)</f>
        <v/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customFormat="false" ht="15" hidden="false" customHeight="false" outlineLevel="0" collapsed="false">
      <c r="A251" s="16"/>
      <c r="B251" s="14" t="str">
        <f aca="false">IF(A251="","",MONTH(A251))</f>
        <v/>
      </c>
      <c r="C251" s="14" t="str">
        <f aca="false">IF(A251="","",YEAR(A251))</f>
        <v/>
      </c>
      <c r="D251" s="13"/>
      <c r="E251" s="13"/>
      <c r="F251" s="13"/>
      <c r="G251" s="17"/>
      <c r="H251" s="18"/>
      <c r="I251" s="19" t="str">
        <f aca="false">IF(G251="","",G251*H251)</f>
        <v/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customFormat="false" ht="15" hidden="false" customHeight="false" outlineLevel="0" collapsed="false">
      <c r="A252" s="16"/>
      <c r="B252" s="14" t="str">
        <f aca="false">IF(A252="","",MONTH(A252))</f>
        <v/>
      </c>
      <c r="C252" s="14" t="str">
        <f aca="false">IF(A252="","",YEAR(A252))</f>
        <v/>
      </c>
      <c r="D252" s="13"/>
      <c r="E252" s="13"/>
      <c r="F252" s="13"/>
      <c r="G252" s="17"/>
      <c r="H252" s="18"/>
      <c r="I252" s="19" t="str">
        <f aca="false">IF(G252="","",G252*H252)</f>
        <v/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customFormat="false" ht="15" hidden="false" customHeight="false" outlineLevel="0" collapsed="false">
      <c r="A253" s="16"/>
      <c r="B253" s="14" t="str">
        <f aca="false">IF(A253="","",MONTH(A253))</f>
        <v/>
      </c>
      <c r="C253" s="14" t="str">
        <f aca="false">IF(A253="","",YEAR(A253))</f>
        <v/>
      </c>
      <c r="D253" s="13"/>
      <c r="E253" s="13"/>
      <c r="F253" s="13"/>
      <c r="G253" s="17"/>
      <c r="H253" s="18"/>
      <c r="I253" s="19" t="str">
        <f aca="false">IF(G253="","",G253*H253)</f>
        <v/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customFormat="false" ht="15" hidden="false" customHeight="false" outlineLevel="0" collapsed="false">
      <c r="A254" s="16"/>
      <c r="B254" s="14" t="str">
        <f aca="false">IF(A254="","",MONTH(A254))</f>
        <v/>
      </c>
      <c r="C254" s="14" t="str">
        <f aca="false">IF(A254="","",YEAR(A254))</f>
        <v/>
      </c>
      <c r="D254" s="13"/>
      <c r="E254" s="13"/>
      <c r="F254" s="13"/>
      <c r="G254" s="17"/>
      <c r="H254" s="18"/>
      <c r="I254" s="19" t="str">
        <f aca="false">IF(G254="","",G254*H254)</f>
        <v/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customFormat="false" ht="15" hidden="false" customHeight="false" outlineLevel="0" collapsed="false">
      <c r="A255" s="16"/>
      <c r="B255" s="14" t="str">
        <f aca="false">IF(A255="","",MONTH(A255))</f>
        <v/>
      </c>
      <c r="C255" s="14" t="str">
        <f aca="false">IF(A255="","",YEAR(A255))</f>
        <v/>
      </c>
      <c r="D255" s="13"/>
      <c r="E255" s="13"/>
      <c r="F255" s="13"/>
      <c r="G255" s="17"/>
      <c r="H255" s="18"/>
      <c r="I255" s="19" t="str">
        <f aca="false">IF(G255="","",G255*H255)</f>
        <v/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customFormat="false" ht="15" hidden="false" customHeight="false" outlineLevel="0" collapsed="false">
      <c r="A256" s="16"/>
      <c r="B256" s="14" t="str">
        <f aca="false">IF(A256="","",MONTH(A256))</f>
        <v/>
      </c>
      <c r="C256" s="14" t="str">
        <f aca="false">IF(A256="","",YEAR(A256))</f>
        <v/>
      </c>
      <c r="D256" s="13"/>
      <c r="E256" s="13"/>
      <c r="F256" s="13"/>
      <c r="G256" s="17"/>
      <c r="H256" s="18"/>
      <c r="I256" s="19" t="str">
        <f aca="false">IF(G256="","",G256*H256)</f>
        <v/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customFormat="false" ht="15" hidden="false" customHeight="false" outlineLevel="0" collapsed="false">
      <c r="A257" s="16"/>
      <c r="B257" s="14" t="str">
        <f aca="false">IF(A257="","",MONTH(A257))</f>
        <v/>
      </c>
      <c r="C257" s="14" t="str">
        <f aca="false">IF(A257="","",YEAR(A257))</f>
        <v/>
      </c>
      <c r="D257" s="13"/>
      <c r="E257" s="13"/>
      <c r="F257" s="13"/>
      <c r="G257" s="17"/>
      <c r="H257" s="18"/>
      <c r="I257" s="19" t="str">
        <f aca="false">IF(G257="","",G257*H257)</f>
        <v/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customFormat="false" ht="15" hidden="false" customHeight="false" outlineLevel="0" collapsed="false">
      <c r="A258" s="16"/>
      <c r="B258" s="14" t="str">
        <f aca="false">IF(A258="","",MONTH(A258))</f>
        <v/>
      </c>
      <c r="C258" s="14" t="str">
        <f aca="false">IF(A258="","",YEAR(A258))</f>
        <v/>
      </c>
      <c r="D258" s="13"/>
      <c r="E258" s="13"/>
      <c r="F258" s="13"/>
      <c r="G258" s="17"/>
      <c r="H258" s="18"/>
      <c r="I258" s="19" t="str">
        <f aca="false">IF(G258="","",G258*H258)</f>
        <v/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customFormat="false" ht="15" hidden="false" customHeight="false" outlineLevel="0" collapsed="false">
      <c r="A259" s="16"/>
      <c r="B259" s="14" t="str">
        <f aca="false">IF(A259="","",MONTH(A259))</f>
        <v/>
      </c>
      <c r="C259" s="14" t="str">
        <f aca="false">IF(A259="","",YEAR(A259))</f>
        <v/>
      </c>
      <c r="D259" s="13"/>
      <c r="E259" s="13"/>
      <c r="F259" s="13"/>
      <c r="G259" s="17"/>
      <c r="H259" s="18"/>
      <c r="I259" s="19" t="str">
        <f aca="false">IF(G259="","",G259*H259)</f>
        <v/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customFormat="false" ht="15" hidden="false" customHeight="false" outlineLevel="0" collapsed="false">
      <c r="A260" s="16"/>
      <c r="B260" s="14" t="str">
        <f aca="false">IF(A260="","",MONTH(A260))</f>
        <v/>
      </c>
      <c r="C260" s="14" t="str">
        <f aca="false">IF(A260="","",YEAR(A260))</f>
        <v/>
      </c>
      <c r="D260" s="13"/>
      <c r="E260" s="13"/>
      <c r="F260" s="13"/>
      <c r="G260" s="17"/>
      <c r="H260" s="18"/>
      <c r="I260" s="19" t="str">
        <f aca="false">IF(G260="","",G260*H260)</f>
        <v/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customFormat="false" ht="15" hidden="false" customHeight="false" outlineLevel="0" collapsed="false">
      <c r="A261" s="16"/>
      <c r="B261" s="14" t="str">
        <f aca="false">IF(A261="","",MONTH(A261))</f>
        <v/>
      </c>
      <c r="C261" s="14" t="str">
        <f aca="false">IF(A261="","",YEAR(A261))</f>
        <v/>
      </c>
      <c r="D261" s="13"/>
      <c r="E261" s="13"/>
      <c r="F261" s="13"/>
      <c r="G261" s="17"/>
      <c r="H261" s="18"/>
      <c r="I261" s="19" t="str">
        <f aca="false">IF(G261="","",G261*H261)</f>
        <v/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customFormat="false" ht="15" hidden="false" customHeight="false" outlineLevel="0" collapsed="false">
      <c r="A262" s="16"/>
      <c r="B262" s="14" t="str">
        <f aca="false">IF(A262="","",MONTH(A262))</f>
        <v/>
      </c>
      <c r="C262" s="14" t="str">
        <f aca="false">IF(A262="","",YEAR(A262))</f>
        <v/>
      </c>
      <c r="D262" s="13"/>
      <c r="E262" s="13"/>
      <c r="F262" s="13"/>
      <c r="G262" s="17"/>
      <c r="H262" s="18"/>
      <c r="I262" s="19" t="str">
        <f aca="false">IF(G262="","",G262*H262)</f>
        <v/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customFormat="false" ht="15" hidden="false" customHeight="false" outlineLevel="0" collapsed="false">
      <c r="A263" s="16"/>
      <c r="B263" s="14" t="str">
        <f aca="false">IF(A263="","",MONTH(A263))</f>
        <v/>
      </c>
      <c r="C263" s="14" t="str">
        <f aca="false">IF(A263="","",YEAR(A263))</f>
        <v/>
      </c>
      <c r="D263" s="13"/>
      <c r="E263" s="13"/>
      <c r="F263" s="13"/>
      <c r="G263" s="17"/>
      <c r="H263" s="18"/>
      <c r="I263" s="19" t="str">
        <f aca="false">IF(G263="","",G263*H263)</f>
        <v/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customFormat="false" ht="15" hidden="false" customHeight="false" outlineLevel="0" collapsed="false">
      <c r="A264" s="16"/>
      <c r="B264" s="14" t="str">
        <f aca="false">IF(A264="","",MONTH(A264))</f>
        <v/>
      </c>
      <c r="C264" s="14" t="str">
        <f aca="false">IF(A264="","",YEAR(A264))</f>
        <v/>
      </c>
      <c r="D264" s="13"/>
      <c r="E264" s="13"/>
      <c r="F264" s="13"/>
      <c r="G264" s="17"/>
      <c r="H264" s="18"/>
      <c r="I264" s="19" t="str">
        <f aca="false">IF(G264="","",G264*H264)</f>
        <v/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customFormat="false" ht="15" hidden="false" customHeight="false" outlineLevel="0" collapsed="false">
      <c r="A265" s="16"/>
      <c r="B265" s="14" t="str">
        <f aca="false">IF(A265="","",MONTH(A265))</f>
        <v/>
      </c>
      <c r="C265" s="14" t="str">
        <f aca="false">IF(A265="","",YEAR(A265))</f>
        <v/>
      </c>
      <c r="D265" s="13"/>
      <c r="E265" s="13"/>
      <c r="F265" s="13"/>
      <c r="G265" s="17"/>
      <c r="H265" s="18"/>
      <c r="I265" s="19" t="str">
        <f aca="false">IF(G265="","",G265*H265)</f>
        <v/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customFormat="false" ht="15" hidden="false" customHeight="false" outlineLevel="0" collapsed="false">
      <c r="A266" s="16"/>
      <c r="B266" s="14" t="str">
        <f aca="false">IF(A266="","",MONTH(A266))</f>
        <v/>
      </c>
      <c r="C266" s="14" t="str">
        <f aca="false">IF(A266="","",YEAR(A266))</f>
        <v/>
      </c>
      <c r="D266" s="13"/>
      <c r="E266" s="13"/>
      <c r="F266" s="13"/>
      <c r="G266" s="17"/>
      <c r="H266" s="18"/>
      <c r="I266" s="19" t="str">
        <f aca="false">IF(G266="","",G266*H266)</f>
        <v/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customFormat="false" ht="15" hidden="false" customHeight="false" outlineLevel="0" collapsed="false">
      <c r="A267" s="16"/>
      <c r="B267" s="14" t="str">
        <f aca="false">IF(A267="","",MONTH(A267))</f>
        <v/>
      </c>
      <c r="C267" s="14" t="str">
        <f aca="false">IF(A267="","",YEAR(A267))</f>
        <v/>
      </c>
      <c r="D267" s="13"/>
      <c r="E267" s="13"/>
      <c r="F267" s="13"/>
      <c r="G267" s="17"/>
      <c r="H267" s="18"/>
      <c r="I267" s="19" t="str">
        <f aca="false">IF(G267="","",G267*H267)</f>
        <v/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customFormat="false" ht="15" hidden="false" customHeight="false" outlineLevel="0" collapsed="false">
      <c r="A268" s="16"/>
      <c r="B268" s="14" t="str">
        <f aca="false">IF(A268="","",MONTH(A268))</f>
        <v/>
      </c>
      <c r="C268" s="14" t="str">
        <f aca="false">IF(A268="","",YEAR(A268))</f>
        <v/>
      </c>
      <c r="D268" s="13"/>
      <c r="E268" s="13"/>
      <c r="F268" s="13"/>
      <c r="G268" s="17"/>
      <c r="H268" s="18"/>
      <c r="I268" s="19" t="str">
        <f aca="false">IF(G268="","",G268*H268)</f>
        <v/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customFormat="false" ht="15" hidden="false" customHeight="false" outlineLevel="0" collapsed="false">
      <c r="A269" s="16"/>
      <c r="B269" s="14" t="str">
        <f aca="false">IF(A269="","",MONTH(A269))</f>
        <v/>
      </c>
      <c r="C269" s="14" t="str">
        <f aca="false">IF(A269="","",YEAR(A269))</f>
        <v/>
      </c>
      <c r="D269" s="13"/>
      <c r="E269" s="13"/>
      <c r="F269" s="13"/>
      <c r="G269" s="17"/>
      <c r="H269" s="18"/>
      <c r="I269" s="19" t="str">
        <f aca="false">IF(G269="","",G269*H269)</f>
        <v/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customFormat="false" ht="15" hidden="false" customHeight="false" outlineLevel="0" collapsed="false">
      <c r="A270" s="16"/>
      <c r="B270" s="14" t="str">
        <f aca="false">IF(A270="","",MONTH(A270))</f>
        <v/>
      </c>
      <c r="C270" s="14" t="str">
        <f aca="false">IF(A270="","",YEAR(A270))</f>
        <v/>
      </c>
      <c r="D270" s="13"/>
      <c r="E270" s="13"/>
      <c r="F270" s="13"/>
      <c r="G270" s="17"/>
      <c r="H270" s="18"/>
      <c r="I270" s="19" t="str">
        <f aca="false">IF(G270="","",G270*H270)</f>
        <v/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customFormat="false" ht="15" hidden="false" customHeight="false" outlineLevel="0" collapsed="false">
      <c r="A271" s="16"/>
      <c r="B271" s="14" t="str">
        <f aca="false">IF(A271="","",MONTH(A271))</f>
        <v/>
      </c>
      <c r="C271" s="14" t="str">
        <f aca="false">IF(A271="","",YEAR(A271))</f>
        <v/>
      </c>
      <c r="D271" s="13"/>
      <c r="E271" s="13"/>
      <c r="F271" s="13"/>
      <c r="G271" s="17"/>
      <c r="H271" s="18"/>
      <c r="I271" s="19" t="str">
        <f aca="false">IF(G271="","",G271*H271)</f>
        <v/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customFormat="false" ht="15" hidden="false" customHeight="false" outlineLevel="0" collapsed="false">
      <c r="A272" s="16"/>
      <c r="B272" s="14" t="str">
        <f aca="false">IF(A272="","",MONTH(A272))</f>
        <v/>
      </c>
      <c r="C272" s="14" t="str">
        <f aca="false">IF(A272="","",YEAR(A272))</f>
        <v/>
      </c>
      <c r="D272" s="13"/>
      <c r="E272" s="13"/>
      <c r="F272" s="13"/>
      <c r="G272" s="17"/>
      <c r="H272" s="18"/>
      <c r="I272" s="19" t="str">
        <f aca="false">IF(G272="","",G272*H272)</f>
        <v/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customFormat="false" ht="15" hidden="false" customHeight="false" outlineLevel="0" collapsed="false">
      <c r="A273" s="16"/>
      <c r="B273" s="14" t="str">
        <f aca="false">IF(A273="","",MONTH(A273))</f>
        <v/>
      </c>
      <c r="C273" s="14" t="str">
        <f aca="false">IF(A273="","",YEAR(A273))</f>
        <v/>
      </c>
      <c r="D273" s="13"/>
      <c r="E273" s="13"/>
      <c r="F273" s="13"/>
      <c r="G273" s="17"/>
      <c r="H273" s="18"/>
      <c r="I273" s="19" t="str">
        <f aca="false">IF(G273="","",G273*H273)</f>
        <v/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customFormat="false" ht="15" hidden="false" customHeight="false" outlineLevel="0" collapsed="false">
      <c r="A274" s="16"/>
      <c r="B274" s="14" t="str">
        <f aca="false">IF(A274="","",MONTH(A274))</f>
        <v/>
      </c>
      <c r="C274" s="14" t="str">
        <f aca="false">IF(A274="","",YEAR(A274))</f>
        <v/>
      </c>
      <c r="D274" s="13"/>
      <c r="E274" s="13"/>
      <c r="F274" s="13"/>
      <c r="G274" s="17"/>
      <c r="H274" s="18"/>
      <c r="I274" s="19" t="str">
        <f aca="false">IF(G274="","",G274*H274)</f>
        <v/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customFormat="false" ht="15" hidden="false" customHeight="false" outlineLevel="0" collapsed="false">
      <c r="A275" s="16"/>
      <c r="B275" s="14" t="str">
        <f aca="false">IF(A275="","",MONTH(A275))</f>
        <v/>
      </c>
      <c r="C275" s="14" t="str">
        <f aca="false">IF(A275="","",YEAR(A275))</f>
        <v/>
      </c>
      <c r="D275" s="13"/>
      <c r="E275" s="13"/>
      <c r="F275" s="13"/>
      <c r="G275" s="17"/>
      <c r="H275" s="18"/>
      <c r="I275" s="19" t="str">
        <f aca="false">IF(G275="","",G275*H275)</f>
        <v/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customFormat="false" ht="15" hidden="false" customHeight="false" outlineLevel="0" collapsed="false">
      <c r="A276" s="16"/>
      <c r="B276" s="14" t="str">
        <f aca="false">IF(A276="","",MONTH(A276))</f>
        <v/>
      </c>
      <c r="C276" s="14" t="str">
        <f aca="false">IF(A276="","",YEAR(A276))</f>
        <v/>
      </c>
      <c r="D276" s="13"/>
      <c r="E276" s="13"/>
      <c r="F276" s="13"/>
      <c r="G276" s="17"/>
      <c r="H276" s="18"/>
      <c r="I276" s="19" t="str">
        <f aca="false">IF(G276="","",G276*H276)</f>
        <v/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customFormat="false" ht="15" hidden="false" customHeight="false" outlineLevel="0" collapsed="false">
      <c r="A277" s="16"/>
      <c r="B277" s="14" t="str">
        <f aca="false">IF(A277="","",MONTH(A277))</f>
        <v/>
      </c>
      <c r="C277" s="14" t="str">
        <f aca="false">IF(A277="","",YEAR(A277))</f>
        <v/>
      </c>
      <c r="D277" s="13"/>
      <c r="E277" s="13"/>
      <c r="F277" s="13"/>
      <c r="G277" s="17"/>
      <c r="H277" s="18"/>
      <c r="I277" s="19" t="str">
        <f aca="false">IF(G277="","",G277*H277)</f>
        <v/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customFormat="false" ht="15" hidden="false" customHeight="false" outlineLevel="0" collapsed="false">
      <c r="A278" s="16"/>
      <c r="B278" s="14" t="str">
        <f aca="false">IF(A278="","",MONTH(A278))</f>
        <v/>
      </c>
      <c r="C278" s="14" t="str">
        <f aca="false">IF(A278="","",YEAR(A278))</f>
        <v/>
      </c>
      <c r="D278" s="13"/>
      <c r="E278" s="13"/>
      <c r="F278" s="13"/>
      <c r="G278" s="17"/>
      <c r="H278" s="18"/>
      <c r="I278" s="19" t="str">
        <f aca="false">IF(G278="","",G278*H278)</f>
        <v/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customFormat="false" ht="15" hidden="false" customHeight="false" outlineLevel="0" collapsed="false">
      <c r="A279" s="16"/>
      <c r="B279" s="14" t="str">
        <f aca="false">IF(A279="","",MONTH(A279))</f>
        <v/>
      </c>
      <c r="C279" s="14" t="str">
        <f aca="false">IF(A279="","",YEAR(A279))</f>
        <v/>
      </c>
      <c r="D279" s="13"/>
      <c r="E279" s="13"/>
      <c r="F279" s="13"/>
      <c r="G279" s="17"/>
      <c r="H279" s="18"/>
      <c r="I279" s="19" t="str">
        <f aca="false">IF(G279="","",G279*H279)</f>
        <v/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customFormat="false" ht="15" hidden="false" customHeight="false" outlineLevel="0" collapsed="false">
      <c r="A280" s="16"/>
      <c r="B280" s="14" t="str">
        <f aca="false">IF(A280="","",MONTH(A280))</f>
        <v/>
      </c>
      <c r="C280" s="14" t="str">
        <f aca="false">IF(A280="","",YEAR(A280))</f>
        <v/>
      </c>
      <c r="D280" s="13"/>
      <c r="E280" s="13"/>
      <c r="F280" s="13"/>
      <c r="G280" s="17"/>
      <c r="H280" s="18"/>
      <c r="I280" s="19" t="str">
        <f aca="false">IF(G280="","",G280*H280)</f>
        <v/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customFormat="false" ht="15" hidden="false" customHeight="false" outlineLevel="0" collapsed="false">
      <c r="A281" s="16"/>
      <c r="B281" s="14" t="str">
        <f aca="false">IF(A281="","",MONTH(A281))</f>
        <v/>
      </c>
      <c r="C281" s="14" t="str">
        <f aca="false">IF(A281="","",YEAR(A281))</f>
        <v/>
      </c>
      <c r="D281" s="13"/>
      <c r="E281" s="13"/>
      <c r="F281" s="13"/>
      <c r="G281" s="17"/>
      <c r="H281" s="18"/>
      <c r="I281" s="19" t="str">
        <f aca="false">IF(G281="","",G281*H281)</f>
        <v/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customFormat="false" ht="15" hidden="false" customHeight="false" outlineLevel="0" collapsed="false">
      <c r="A282" s="16"/>
      <c r="B282" s="14" t="str">
        <f aca="false">IF(A282="","",MONTH(A282))</f>
        <v/>
      </c>
      <c r="C282" s="14" t="str">
        <f aca="false">IF(A282="","",YEAR(A282))</f>
        <v/>
      </c>
      <c r="D282" s="13"/>
      <c r="E282" s="13"/>
      <c r="F282" s="13"/>
      <c r="G282" s="17"/>
      <c r="H282" s="18"/>
      <c r="I282" s="19" t="str">
        <f aca="false">IF(G282="","",G282*H282)</f>
        <v/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customFormat="false" ht="15" hidden="false" customHeight="false" outlineLevel="0" collapsed="false">
      <c r="A283" s="16"/>
      <c r="B283" s="14" t="str">
        <f aca="false">IF(A283="","",MONTH(A283))</f>
        <v/>
      </c>
      <c r="C283" s="14" t="str">
        <f aca="false">IF(A283="","",YEAR(A283))</f>
        <v/>
      </c>
      <c r="D283" s="13"/>
      <c r="E283" s="13"/>
      <c r="F283" s="13"/>
      <c r="G283" s="17"/>
      <c r="H283" s="18"/>
      <c r="I283" s="19" t="str">
        <f aca="false">IF(G283="","",G283*H283)</f>
        <v/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customFormat="false" ht="15" hidden="false" customHeight="false" outlineLevel="0" collapsed="false">
      <c r="A284" s="16"/>
      <c r="B284" s="14" t="str">
        <f aca="false">IF(A284="","",MONTH(A284))</f>
        <v/>
      </c>
      <c r="C284" s="14" t="str">
        <f aca="false">IF(A284="","",YEAR(A284))</f>
        <v/>
      </c>
      <c r="D284" s="13"/>
      <c r="E284" s="13"/>
      <c r="F284" s="13"/>
      <c r="G284" s="17"/>
      <c r="H284" s="18"/>
      <c r="I284" s="19" t="str">
        <f aca="false">IF(G284="","",G284*H284)</f>
        <v/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customFormat="false" ht="15" hidden="false" customHeight="false" outlineLevel="0" collapsed="false">
      <c r="A285" s="16"/>
      <c r="B285" s="14" t="str">
        <f aca="false">IF(A285="","",MONTH(A285))</f>
        <v/>
      </c>
      <c r="C285" s="14" t="str">
        <f aca="false">IF(A285="","",YEAR(A285))</f>
        <v/>
      </c>
      <c r="D285" s="13"/>
      <c r="E285" s="13"/>
      <c r="F285" s="13"/>
      <c r="G285" s="17"/>
      <c r="H285" s="18"/>
      <c r="I285" s="19" t="str">
        <f aca="false">IF(G285="","",G285*H285)</f>
        <v/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customFormat="false" ht="15" hidden="false" customHeight="false" outlineLevel="0" collapsed="false">
      <c r="A286" s="16"/>
      <c r="B286" s="14" t="str">
        <f aca="false">IF(A286="","",MONTH(A286))</f>
        <v/>
      </c>
      <c r="C286" s="14" t="str">
        <f aca="false">IF(A286="","",YEAR(A286))</f>
        <v/>
      </c>
      <c r="D286" s="13"/>
      <c r="E286" s="13"/>
      <c r="F286" s="13"/>
      <c r="G286" s="17"/>
      <c r="H286" s="18"/>
      <c r="I286" s="19" t="str">
        <f aca="false">IF(G286="","",G286*H286)</f>
        <v/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customFormat="false" ht="15" hidden="false" customHeight="false" outlineLevel="0" collapsed="false">
      <c r="A287" s="16"/>
      <c r="B287" s="14" t="str">
        <f aca="false">IF(A287="","",MONTH(A287))</f>
        <v/>
      </c>
      <c r="C287" s="14" t="str">
        <f aca="false">IF(A287="","",YEAR(A287))</f>
        <v/>
      </c>
      <c r="D287" s="13"/>
      <c r="E287" s="13"/>
      <c r="F287" s="13"/>
      <c r="G287" s="17"/>
      <c r="H287" s="18"/>
      <c r="I287" s="19" t="str">
        <f aca="false">IF(G287="","",G287*H287)</f>
        <v/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customFormat="false" ht="15" hidden="false" customHeight="false" outlineLevel="0" collapsed="false">
      <c r="A288" s="16"/>
      <c r="B288" s="14" t="str">
        <f aca="false">IF(A288="","",MONTH(A288))</f>
        <v/>
      </c>
      <c r="C288" s="14" t="str">
        <f aca="false">IF(A288="","",YEAR(A288))</f>
        <v/>
      </c>
      <c r="D288" s="13"/>
      <c r="E288" s="13"/>
      <c r="F288" s="13"/>
      <c r="G288" s="17"/>
      <c r="H288" s="18"/>
      <c r="I288" s="19" t="str">
        <f aca="false">IF(G288="","",G288*H288)</f>
        <v/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customFormat="false" ht="15" hidden="false" customHeight="false" outlineLevel="0" collapsed="false">
      <c r="A289" s="16"/>
      <c r="B289" s="14" t="str">
        <f aca="false">IF(A289="","",MONTH(A289))</f>
        <v/>
      </c>
      <c r="C289" s="14" t="str">
        <f aca="false">IF(A289="","",YEAR(A289))</f>
        <v/>
      </c>
      <c r="D289" s="13"/>
      <c r="E289" s="13"/>
      <c r="F289" s="13"/>
      <c r="G289" s="17"/>
      <c r="H289" s="18"/>
      <c r="I289" s="19" t="str">
        <f aca="false">IF(G289="","",G289*H289)</f>
        <v/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customFormat="false" ht="15" hidden="false" customHeight="false" outlineLevel="0" collapsed="false">
      <c r="A290" s="16"/>
      <c r="B290" s="14" t="str">
        <f aca="false">IF(A290="","",MONTH(A290))</f>
        <v/>
      </c>
      <c r="C290" s="14" t="str">
        <f aca="false">IF(A290="","",YEAR(A290))</f>
        <v/>
      </c>
      <c r="D290" s="13"/>
      <c r="E290" s="13"/>
      <c r="F290" s="13"/>
      <c r="G290" s="17"/>
      <c r="H290" s="18"/>
      <c r="I290" s="19" t="str">
        <f aca="false">IF(G290="","",G290*H290)</f>
        <v/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customFormat="false" ht="15" hidden="false" customHeight="false" outlineLevel="0" collapsed="false">
      <c r="A291" s="16"/>
      <c r="B291" s="14" t="str">
        <f aca="false">IF(A291="","",MONTH(A291))</f>
        <v/>
      </c>
      <c r="C291" s="14" t="str">
        <f aca="false">IF(A291="","",YEAR(A291))</f>
        <v/>
      </c>
      <c r="D291" s="13"/>
      <c r="E291" s="13"/>
      <c r="F291" s="13"/>
      <c r="G291" s="17"/>
      <c r="H291" s="18"/>
      <c r="I291" s="19" t="str">
        <f aca="false">IF(G291="","",G291*H291)</f>
        <v/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customFormat="false" ht="15" hidden="false" customHeight="false" outlineLevel="0" collapsed="false">
      <c r="A292" s="16"/>
      <c r="B292" s="14" t="str">
        <f aca="false">IF(A292="","",MONTH(A292))</f>
        <v/>
      </c>
      <c r="C292" s="14" t="str">
        <f aca="false">IF(A292="","",YEAR(A292))</f>
        <v/>
      </c>
      <c r="D292" s="13"/>
      <c r="E292" s="13"/>
      <c r="F292" s="13"/>
      <c r="G292" s="17"/>
      <c r="H292" s="18"/>
      <c r="I292" s="19" t="str">
        <f aca="false">IF(G292="","",G292*H292)</f>
        <v/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customFormat="false" ht="15" hidden="false" customHeight="false" outlineLevel="0" collapsed="false">
      <c r="A293" s="16"/>
      <c r="B293" s="14" t="str">
        <f aca="false">IF(A293="","",MONTH(A293))</f>
        <v/>
      </c>
      <c r="C293" s="14" t="str">
        <f aca="false">IF(A293="","",YEAR(A293))</f>
        <v/>
      </c>
      <c r="D293" s="13"/>
      <c r="E293" s="13"/>
      <c r="F293" s="13"/>
      <c r="G293" s="17"/>
      <c r="H293" s="18"/>
      <c r="I293" s="19" t="str">
        <f aca="false">IF(G293="","",G293*H293)</f>
        <v/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customFormat="false" ht="15" hidden="false" customHeight="false" outlineLevel="0" collapsed="false">
      <c r="A294" s="16"/>
      <c r="B294" s="14" t="str">
        <f aca="false">IF(A294="","",MONTH(A294))</f>
        <v/>
      </c>
      <c r="C294" s="14" t="str">
        <f aca="false">IF(A294="","",YEAR(A294))</f>
        <v/>
      </c>
      <c r="D294" s="13"/>
      <c r="E294" s="13"/>
      <c r="F294" s="13"/>
      <c r="G294" s="17"/>
      <c r="H294" s="18"/>
      <c r="I294" s="19" t="str">
        <f aca="false">IF(G294="","",G294*H294)</f>
        <v/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customFormat="false" ht="15" hidden="false" customHeight="false" outlineLevel="0" collapsed="false">
      <c r="A295" s="16"/>
      <c r="B295" s="14" t="str">
        <f aca="false">IF(A295="","",MONTH(A295))</f>
        <v/>
      </c>
      <c r="C295" s="14" t="str">
        <f aca="false">IF(A295="","",YEAR(A295))</f>
        <v/>
      </c>
      <c r="D295" s="13"/>
      <c r="E295" s="13"/>
      <c r="F295" s="13"/>
      <c r="G295" s="17"/>
      <c r="H295" s="18"/>
      <c r="I295" s="19" t="str">
        <f aca="false">IF(G295="","",G295*H295)</f>
        <v/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customFormat="false" ht="15" hidden="false" customHeight="false" outlineLevel="0" collapsed="false">
      <c r="A296" s="16"/>
      <c r="B296" s="14" t="str">
        <f aca="false">IF(A296="","",MONTH(A296))</f>
        <v/>
      </c>
      <c r="C296" s="14" t="str">
        <f aca="false">IF(A296="","",YEAR(A296))</f>
        <v/>
      </c>
      <c r="D296" s="13"/>
      <c r="E296" s="13"/>
      <c r="F296" s="13"/>
      <c r="G296" s="17"/>
      <c r="H296" s="18"/>
      <c r="I296" s="19" t="str">
        <f aca="false">IF(G296="","",G296*H296)</f>
        <v/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customFormat="false" ht="15" hidden="false" customHeight="false" outlineLevel="0" collapsed="false">
      <c r="A297" s="16"/>
      <c r="B297" s="14" t="str">
        <f aca="false">IF(A297="","",MONTH(A297))</f>
        <v/>
      </c>
      <c r="C297" s="14" t="str">
        <f aca="false">IF(A297="","",YEAR(A297))</f>
        <v/>
      </c>
      <c r="D297" s="13"/>
      <c r="E297" s="13"/>
      <c r="F297" s="13"/>
      <c r="G297" s="17"/>
      <c r="H297" s="18"/>
      <c r="I297" s="19" t="str">
        <f aca="false">IF(G297="","",G297*H297)</f>
        <v/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customFormat="false" ht="15" hidden="false" customHeight="false" outlineLevel="0" collapsed="false">
      <c r="A298" s="16"/>
      <c r="B298" s="14" t="str">
        <f aca="false">IF(A298="","",MONTH(A298))</f>
        <v/>
      </c>
      <c r="C298" s="14" t="str">
        <f aca="false">IF(A298="","",YEAR(A298))</f>
        <v/>
      </c>
      <c r="D298" s="13"/>
      <c r="E298" s="13"/>
      <c r="F298" s="13"/>
      <c r="G298" s="17"/>
      <c r="H298" s="18"/>
      <c r="I298" s="19" t="str">
        <f aca="false">IF(G298="","",G298*H298)</f>
        <v/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customFormat="false" ht="15" hidden="false" customHeight="false" outlineLevel="0" collapsed="false">
      <c r="A299" s="16"/>
      <c r="B299" s="14" t="str">
        <f aca="false">IF(A299="","",MONTH(A299))</f>
        <v/>
      </c>
      <c r="C299" s="14" t="str">
        <f aca="false">IF(A299="","",YEAR(A299))</f>
        <v/>
      </c>
      <c r="D299" s="13"/>
      <c r="E299" s="13"/>
      <c r="F299" s="13"/>
      <c r="G299" s="17"/>
      <c r="H299" s="18"/>
      <c r="I299" s="19" t="str">
        <f aca="false">IF(G299="","",G299*H299)</f>
        <v/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customFormat="false" ht="15" hidden="false" customHeight="false" outlineLevel="0" collapsed="false">
      <c r="A300" s="16"/>
      <c r="B300" s="14" t="str">
        <f aca="false">IF(A300="","",MONTH(A300))</f>
        <v/>
      </c>
      <c r="C300" s="14" t="str">
        <f aca="false">IF(A300="","",YEAR(A300))</f>
        <v/>
      </c>
      <c r="D300" s="13"/>
      <c r="E300" s="13"/>
      <c r="F300" s="13"/>
      <c r="G300" s="17"/>
      <c r="H300" s="18"/>
      <c r="I300" s="19" t="str">
        <f aca="false">IF(G300="","",G300*H300)</f>
        <v/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customFormat="false" ht="15" hidden="false" customHeight="false" outlineLevel="0" collapsed="false">
      <c r="A301" s="16"/>
      <c r="B301" s="14" t="str">
        <f aca="false">IF(A301="","",MONTH(A301))</f>
        <v/>
      </c>
      <c r="C301" s="14" t="str">
        <f aca="false">IF(A301="","",YEAR(A301))</f>
        <v/>
      </c>
      <c r="D301" s="13"/>
      <c r="E301" s="13"/>
      <c r="F301" s="13"/>
      <c r="G301" s="17"/>
      <c r="H301" s="18"/>
      <c r="I301" s="19" t="str">
        <f aca="false">IF(G301="","",G301*H301)</f>
        <v/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customFormat="false" ht="15" hidden="false" customHeight="false" outlineLevel="0" collapsed="false">
      <c r="A302" s="16"/>
      <c r="B302" s="14" t="str">
        <f aca="false">IF(A302="","",MONTH(A302))</f>
        <v/>
      </c>
      <c r="C302" s="14" t="str">
        <f aca="false">IF(A302="","",YEAR(A302))</f>
        <v/>
      </c>
      <c r="D302" s="13"/>
      <c r="E302" s="13"/>
      <c r="F302" s="13"/>
      <c r="G302" s="17"/>
      <c r="H302" s="18"/>
      <c r="I302" s="19" t="str">
        <f aca="false">IF(G302="","",G302*H302)</f>
        <v/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customFormat="false" ht="15" hidden="false" customHeight="false" outlineLevel="0" collapsed="false">
      <c r="A303" s="16"/>
      <c r="B303" s="14" t="str">
        <f aca="false">IF(A303="","",MONTH(A303))</f>
        <v/>
      </c>
      <c r="C303" s="14" t="str">
        <f aca="false">IF(A303="","",YEAR(A303))</f>
        <v/>
      </c>
      <c r="D303" s="13"/>
      <c r="E303" s="13"/>
      <c r="F303" s="13"/>
      <c r="G303" s="17"/>
      <c r="H303" s="18"/>
      <c r="I303" s="19" t="str">
        <f aca="false">IF(G303="","",G303*H303)</f>
        <v/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customFormat="false" ht="15" hidden="false" customHeight="false" outlineLevel="0" collapsed="false">
      <c r="A304" s="16"/>
      <c r="B304" s="14" t="str">
        <f aca="false">IF(A304="","",MONTH(A304))</f>
        <v/>
      </c>
      <c r="C304" s="14" t="str">
        <f aca="false">IF(A304="","",YEAR(A304))</f>
        <v/>
      </c>
      <c r="D304" s="13"/>
      <c r="E304" s="13"/>
      <c r="F304" s="13"/>
      <c r="G304" s="17"/>
      <c r="H304" s="18"/>
      <c r="I304" s="19" t="str">
        <f aca="false">IF(G304="","",G304*H304)</f>
        <v/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</sheetData>
  <dataValidations count="2">
    <dataValidation allowBlank="true" errorStyle="stop" operator="between" showDropDown="false" showErrorMessage="false" showInputMessage="false" sqref="D5:D304" type="list">
      <formula1>Parametros!$A$7:$A$36</formula1>
      <formula2>0</formula2>
    </dataValidation>
    <dataValidation allowBlank="true" errorStyle="stop" operator="between" showDropDown="false" showErrorMessage="false" showInputMessage="false" sqref="E5:E304" type="list">
      <formula1>Parametros!$B$7:$B$36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5"/>
    <col collapsed="false" customWidth="true" hidden="false" outlineLevel="0" max="4" min="3" style="0" width="14"/>
    <col collapsed="false" customWidth="true" hidden="false" outlineLevel="0" max="6" min="5" style="0" width="10"/>
    <col collapsed="false" customWidth="true" hidden="false" outlineLevel="0" max="7" min="7" style="0" width="8"/>
    <col collapsed="false" customWidth="true" hidden="false" outlineLevel="0" max="8" min="8" style="0" width="22"/>
    <col collapsed="false" customWidth="true" hidden="false" outlineLevel="0" max="9" min="9" style="0" width="10"/>
    <col collapsed="false" customWidth="true" hidden="false" outlineLevel="0" max="10" min="10" style="0" width="15"/>
    <col collapsed="false" customWidth="true" hidden="false" outlineLevel="0" max="11" min="11" style="0" width="14"/>
    <col collapsed="false" customWidth="true" hidden="false" outlineLevel="0" max="12" min="12" style="0" width="15"/>
  </cols>
  <sheetData>
    <row r="1" customFormat="false" ht="17.35" hidden="false" customHeight="false" outlineLevel="0" collapsed="false">
      <c r="A1" s="1" t="s">
        <v>174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175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26" t="str">
        <f aca="false">"Año de análisis: "&amp;Parametros!B4</f>
        <v>Año de análisis: 2026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customFormat="false" ht="42" hidden="false" customHeight="true" outlineLevel="0" collapsed="false">
      <c r="A5" s="15" t="s">
        <v>77</v>
      </c>
      <c r="B5" s="15" t="s">
        <v>176</v>
      </c>
      <c r="C5" s="15" t="s">
        <v>177</v>
      </c>
      <c r="D5" s="15" t="s">
        <v>178</v>
      </c>
      <c r="E5" s="15" t="s">
        <v>179</v>
      </c>
      <c r="F5" s="15" t="s">
        <v>180</v>
      </c>
      <c r="G5" s="15" t="s">
        <v>123</v>
      </c>
      <c r="H5" s="15" t="s">
        <v>181</v>
      </c>
      <c r="I5" s="15" t="s">
        <v>182</v>
      </c>
      <c r="J5" s="15" t="s">
        <v>162</v>
      </c>
      <c r="K5" s="15" t="s">
        <v>183</v>
      </c>
      <c r="L5" s="15" t="s">
        <v>184</v>
      </c>
    </row>
    <row r="6" customFormat="false" ht="15" hidden="false" customHeight="false" outlineLevel="0" collapsed="false">
      <c r="A6" s="14" t="s">
        <v>44</v>
      </c>
      <c r="B6" s="19" t="n">
        <f aca="false">SUMIFS(Seguimiento_OC!$G$5:$G$304,Seguimiento_OC!$B$5:$B$304,"&gt;="&amp;DATE(Parametros!$B$4,1,1),Seguimiento_OC!$B$5:$B$304,"&lt;"&amp;DATE(Parametros!$B$4,1+1,1))</f>
        <v>0</v>
      </c>
      <c r="C6" s="19" t="n">
        <f aca="false">SUMIFS(Seguimiento_OC!$G$5:$G$304,Seguimiento_OC!$F$5:$F$304,"Crédito",Seguimiento_OC!$B$5:$B$304,"&gt;="&amp;DATE(Parametros!$B$4,1,1),Seguimiento_OC!$B$5:$B$304,"&lt;"&amp;DATE(Parametros!$B$4,1+1,1))</f>
        <v>0</v>
      </c>
      <c r="D6" s="19" t="n">
        <f aca="false">SUMIFS(Seguimiento_OC!$G$5:$G$304,Seguimiento_OC!$F$5:$F$304,"Contado",Seguimiento_OC!$B$5:$B$304,"&gt;="&amp;DATE(Parametros!$B$4,1,1),Seguimiento_OC!$B$5:$B$304,"&lt;"&amp;DATE(Parametros!$B$4,1+1,1))</f>
        <v>0</v>
      </c>
      <c r="E6" s="20" t="n">
        <f aca="false">IF(B6=0,0,C6/B6)</f>
        <v>0</v>
      </c>
      <c r="F6" s="20" t="n">
        <f aca="false">IF(B6=0,0,D6/B6)</f>
        <v>0</v>
      </c>
      <c r="G6" s="21" t="n">
        <f aca="false">COUNTIFS(Seguimiento_OC!$B$5:$B$304,"&gt;="&amp;DATE(Parametros!$B$4,1,1),Seguimiento_OC!$B$5:$B$304,"&lt;"&amp;DATE(Parametros!$B$4,1+1,1))</f>
        <v>0</v>
      </c>
      <c r="H6" s="19" t="n">
        <f aca="false">SUMIFS(Comparativo!$S$5:$S$304,Comparativo!$B$5:$B$304,"&gt;="&amp;DATE(Parametros!$B$4,1,1),Comparativo!$B$5:$B$304,"&lt;"&amp;DATE(Parametros!$B$4,1+1,1))</f>
        <v>0</v>
      </c>
      <c r="I6" s="27" t="n">
        <f aca="false">SUMIFS(Produccion!$E$5:$E$304,Produccion!$A$5:$A$304,Parametros!$B$4,Produccion!$B$5:$B$304,1)</f>
        <v>0</v>
      </c>
      <c r="J6" s="19" t="n">
        <f aca="false">SUMIFS(Produccion!$F$5:$F$304,Produccion!$A$5:$A$304,Parametros!$B$4,Produccion!$B$5:$B$304,1)</f>
        <v>0</v>
      </c>
      <c r="K6" s="19" t="n">
        <f aca="false">IF(I6=0,0,J6/I6)</f>
        <v>0</v>
      </c>
      <c r="L6" s="19" t="n">
        <f aca="false">Consumos!L15</f>
        <v>0</v>
      </c>
    </row>
    <row r="7" customFormat="false" ht="15" hidden="false" customHeight="false" outlineLevel="0" collapsed="false">
      <c r="A7" s="14" t="s">
        <v>51</v>
      </c>
      <c r="B7" s="19" t="n">
        <f aca="false">SUMIFS(Seguimiento_OC!$G$5:$G$304,Seguimiento_OC!$B$5:$B$304,"&gt;="&amp;DATE(Parametros!$B$4,2,1),Seguimiento_OC!$B$5:$B$304,"&lt;"&amp;DATE(Parametros!$B$4,2+1,1))</f>
        <v>0</v>
      </c>
      <c r="C7" s="19" t="n">
        <f aca="false">SUMIFS(Seguimiento_OC!$G$5:$G$304,Seguimiento_OC!$F$5:$F$304,"Crédito",Seguimiento_OC!$B$5:$B$304,"&gt;="&amp;DATE(Parametros!$B$4,2,1),Seguimiento_OC!$B$5:$B$304,"&lt;"&amp;DATE(Parametros!$B$4,2+1,1))</f>
        <v>0</v>
      </c>
      <c r="D7" s="19" t="n">
        <f aca="false">SUMIFS(Seguimiento_OC!$G$5:$G$304,Seguimiento_OC!$F$5:$F$304,"Contado",Seguimiento_OC!$B$5:$B$304,"&gt;="&amp;DATE(Parametros!$B$4,2,1),Seguimiento_OC!$B$5:$B$304,"&lt;"&amp;DATE(Parametros!$B$4,2+1,1))</f>
        <v>0</v>
      </c>
      <c r="E7" s="20" t="n">
        <f aca="false">IF(B7=0,0,C7/B7)</f>
        <v>0</v>
      </c>
      <c r="F7" s="20" t="n">
        <f aca="false">IF(B7=0,0,D7/B7)</f>
        <v>0</v>
      </c>
      <c r="G7" s="21" t="n">
        <f aca="false">COUNTIFS(Seguimiento_OC!$B$5:$B$304,"&gt;="&amp;DATE(Parametros!$B$4,2,1),Seguimiento_OC!$B$5:$B$304,"&lt;"&amp;DATE(Parametros!$B$4,2+1,1))</f>
        <v>0</v>
      </c>
      <c r="H7" s="19" t="n">
        <f aca="false">SUMIFS(Comparativo!$S$5:$S$304,Comparativo!$B$5:$B$304,"&gt;="&amp;DATE(Parametros!$B$4,2,1),Comparativo!$B$5:$B$304,"&lt;"&amp;DATE(Parametros!$B$4,2+1,1))</f>
        <v>0</v>
      </c>
      <c r="I7" s="27" t="n">
        <f aca="false">SUMIFS(Produccion!$E$5:$E$304,Produccion!$A$5:$A$304,Parametros!$B$4,Produccion!$B$5:$B$304,2)</f>
        <v>0</v>
      </c>
      <c r="J7" s="19" t="n">
        <f aca="false">SUMIFS(Produccion!$F$5:$F$304,Produccion!$A$5:$A$304,Parametros!$B$4,Produccion!$B$5:$B$304,2)</f>
        <v>0</v>
      </c>
      <c r="K7" s="19" t="n">
        <f aca="false">IF(I7=0,0,J7/I7)</f>
        <v>0</v>
      </c>
      <c r="L7" s="19" t="n">
        <f aca="false">Consumos!M15</f>
        <v>0</v>
      </c>
    </row>
    <row r="8" customFormat="false" ht="15" hidden="false" customHeight="false" outlineLevel="0" collapsed="false">
      <c r="A8" s="14" t="s">
        <v>57</v>
      </c>
      <c r="B8" s="19" t="n">
        <f aca="false">SUMIFS(Seguimiento_OC!$G$5:$G$304,Seguimiento_OC!$B$5:$B$304,"&gt;="&amp;DATE(Parametros!$B$4,3,1),Seguimiento_OC!$B$5:$B$304,"&lt;"&amp;DATE(Parametros!$B$4,3+1,1))</f>
        <v>0</v>
      </c>
      <c r="C8" s="19" t="n">
        <f aca="false">SUMIFS(Seguimiento_OC!$G$5:$G$304,Seguimiento_OC!$F$5:$F$304,"Crédito",Seguimiento_OC!$B$5:$B$304,"&gt;="&amp;DATE(Parametros!$B$4,3,1),Seguimiento_OC!$B$5:$B$304,"&lt;"&amp;DATE(Parametros!$B$4,3+1,1))</f>
        <v>0</v>
      </c>
      <c r="D8" s="19" t="n">
        <f aca="false">SUMIFS(Seguimiento_OC!$G$5:$G$304,Seguimiento_OC!$F$5:$F$304,"Contado",Seguimiento_OC!$B$5:$B$304,"&gt;="&amp;DATE(Parametros!$B$4,3,1),Seguimiento_OC!$B$5:$B$304,"&lt;"&amp;DATE(Parametros!$B$4,3+1,1))</f>
        <v>0</v>
      </c>
      <c r="E8" s="20" t="n">
        <f aca="false">IF(B8=0,0,C8/B8)</f>
        <v>0</v>
      </c>
      <c r="F8" s="20" t="n">
        <f aca="false">IF(B8=0,0,D8/B8)</f>
        <v>0</v>
      </c>
      <c r="G8" s="21" t="n">
        <f aca="false">COUNTIFS(Seguimiento_OC!$B$5:$B$304,"&gt;="&amp;DATE(Parametros!$B$4,3,1),Seguimiento_OC!$B$5:$B$304,"&lt;"&amp;DATE(Parametros!$B$4,3+1,1))</f>
        <v>0</v>
      </c>
      <c r="H8" s="19" t="n">
        <f aca="false">SUMIFS(Comparativo!$S$5:$S$304,Comparativo!$B$5:$B$304,"&gt;="&amp;DATE(Parametros!$B$4,3,1),Comparativo!$B$5:$B$304,"&lt;"&amp;DATE(Parametros!$B$4,3+1,1))</f>
        <v>0</v>
      </c>
      <c r="I8" s="27" t="n">
        <f aca="false">SUMIFS(Produccion!$E$5:$E$304,Produccion!$A$5:$A$304,Parametros!$B$4,Produccion!$B$5:$B$304,3)</f>
        <v>0</v>
      </c>
      <c r="J8" s="19" t="n">
        <f aca="false">SUMIFS(Produccion!$F$5:$F$304,Produccion!$A$5:$A$304,Parametros!$B$4,Produccion!$B$5:$B$304,3)</f>
        <v>0</v>
      </c>
      <c r="K8" s="19" t="n">
        <f aca="false">IF(I8=0,0,J8/I8)</f>
        <v>0</v>
      </c>
      <c r="L8" s="19" t="n">
        <f aca="false">Consumos!N15</f>
        <v>0</v>
      </c>
    </row>
    <row r="9" customFormat="false" ht="15" hidden="false" customHeight="false" outlineLevel="0" collapsed="false">
      <c r="A9" s="14" t="s">
        <v>61</v>
      </c>
      <c r="B9" s="19" t="n">
        <f aca="false">SUMIFS(Seguimiento_OC!$G$5:$G$304,Seguimiento_OC!$B$5:$B$304,"&gt;="&amp;DATE(Parametros!$B$4,4,1),Seguimiento_OC!$B$5:$B$304,"&lt;"&amp;DATE(Parametros!$B$4,4+1,1))</f>
        <v>0</v>
      </c>
      <c r="C9" s="19" t="n">
        <f aca="false">SUMIFS(Seguimiento_OC!$G$5:$G$304,Seguimiento_OC!$F$5:$F$304,"Crédito",Seguimiento_OC!$B$5:$B$304,"&gt;="&amp;DATE(Parametros!$B$4,4,1),Seguimiento_OC!$B$5:$B$304,"&lt;"&amp;DATE(Parametros!$B$4,4+1,1))</f>
        <v>0</v>
      </c>
      <c r="D9" s="19" t="n">
        <f aca="false">SUMIFS(Seguimiento_OC!$G$5:$G$304,Seguimiento_OC!$F$5:$F$304,"Contado",Seguimiento_OC!$B$5:$B$304,"&gt;="&amp;DATE(Parametros!$B$4,4,1),Seguimiento_OC!$B$5:$B$304,"&lt;"&amp;DATE(Parametros!$B$4,4+1,1))</f>
        <v>0</v>
      </c>
      <c r="E9" s="20" t="n">
        <f aca="false">IF(B9=0,0,C9/B9)</f>
        <v>0</v>
      </c>
      <c r="F9" s="20" t="n">
        <f aca="false">IF(B9=0,0,D9/B9)</f>
        <v>0</v>
      </c>
      <c r="G9" s="21" t="n">
        <f aca="false">COUNTIFS(Seguimiento_OC!$B$5:$B$304,"&gt;="&amp;DATE(Parametros!$B$4,4,1),Seguimiento_OC!$B$5:$B$304,"&lt;"&amp;DATE(Parametros!$B$4,4+1,1))</f>
        <v>0</v>
      </c>
      <c r="H9" s="19" t="n">
        <f aca="false">SUMIFS(Comparativo!$S$5:$S$304,Comparativo!$B$5:$B$304,"&gt;="&amp;DATE(Parametros!$B$4,4,1),Comparativo!$B$5:$B$304,"&lt;"&amp;DATE(Parametros!$B$4,4+1,1))</f>
        <v>0</v>
      </c>
      <c r="I9" s="27" t="n">
        <f aca="false">SUMIFS(Produccion!$E$5:$E$304,Produccion!$A$5:$A$304,Parametros!$B$4,Produccion!$B$5:$B$304,4)</f>
        <v>0</v>
      </c>
      <c r="J9" s="19" t="n">
        <f aca="false">SUMIFS(Produccion!$F$5:$F$304,Produccion!$A$5:$A$304,Parametros!$B$4,Produccion!$B$5:$B$304,4)</f>
        <v>0</v>
      </c>
      <c r="K9" s="19" t="n">
        <f aca="false">IF(I9=0,0,J9/I9)</f>
        <v>0</v>
      </c>
      <c r="L9" s="19" t="n">
        <f aca="false">Consumos!O15</f>
        <v>0</v>
      </c>
    </row>
    <row r="10" customFormat="false" ht="15" hidden="false" customHeight="false" outlineLevel="0" collapsed="false">
      <c r="A10" s="14" t="s">
        <v>64</v>
      </c>
      <c r="B10" s="19" t="n">
        <f aca="false">SUMIFS(Seguimiento_OC!$G$5:$G$304,Seguimiento_OC!$B$5:$B$304,"&gt;="&amp;DATE(Parametros!$B$4,5,1),Seguimiento_OC!$B$5:$B$304,"&lt;"&amp;DATE(Parametros!$B$4,5+1,1))</f>
        <v>0</v>
      </c>
      <c r="C10" s="19" t="n">
        <f aca="false">SUMIFS(Seguimiento_OC!$G$5:$G$304,Seguimiento_OC!$F$5:$F$304,"Crédito",Seguimiento_OC!$B$5:$B$304,"&gt;="&amp;DATE(Parametros!$B$4,5,1),Seguimiento_OC!$B$5:$B$304,"&lt;"&amp;DATE(Parametros!$B$4,5+1,1))</f>
        <v>0</v>
      </c>
      <c r="D10" s="19" t="n">
        <f aca="false">SUMIFS(Seguimiento_OC!$G$5:$G$304,Seguimiento_OC!$F$5:$F$304,"Contado",Seguimiento_OC!$B$5:$B$304,"&gt;="&amp;DATE(Parametros!$B$4,5,1),Seguimiento_OC!$B$5:$B$304,"&lt;"&amp;DATE(Parametros!$B$4,5+1,1))</f>
        <v>0</v>
      </c>
      <c r="E10" s="20" t="n">
        <f aca="false">IF(B10=0,0,C10/B10)</f>
        <v>0</v>
      </c>
      <c r="F10" s="20" t="n">
        <f aca="false">IF(B10=0,0,D10/B10)</f>
        <v>0</v>
      </c>
      <c r="G10" s="21" t="n">
        <f aca="false">COUNTIFS(Seguimiento_OC!$B$5:$B$304,"&gt;="&amp;DATE(Parametros!$B$4,5,1),Seguimiento_OC!$B$5:$B$304,"&lt;"&amp;DATE(Parametros!$B$4,5+1,1))</f>
        <v>0</v>
      </c>
      <c r="H10" s="19" t="n">
        <f aca="false">SUMIFS(Comparativo!$S$5:$S$304,Comparativo!$B$5:$B$304,"&gt;="&amp;DATE(Parametros!$B$4,5,1),Comparativo!$B$5:$B$304,"&lt;"&amp;DATE(Parametros!$B$4,5+1,1))</f>
        <v>0</v>
      </c>
      <c r="I10" s="27" t="n">
        <f aca="false">SUMIFS(Produccion!$E$5:$E$304,Produccion!$A$5:$A$304,Parametros!$B$4,Produccion!$B$5:$B$304,5)</f>
        <v>0</v>
      </c>
      <c r="J10" s="19" t="n">
        <f aca="false">SUMIFS(Produccion!$F$5:$F$304,Produccion!$A$5:$A$304,Parametros!$B$4,Produccion!$B$5:$B$304,5)</f>
        <v>0</v>
      </c>
      <c r="K10" s="19" t="n">
        <f aca="false">IF(I10=0,0,J10/I10)</f>
        <v>0</v>
      </c>
      <c r="L10" s="19" t="n">
        <f aca="false">Consumos!P15</f>
        <v>0</v>
      </c>
    </row>
    <row r="11" customFormat="false" ht="15" hidden="false" customHeight="false" outlineLevel="0" collapsed="false">
      <c r="A11" s="14" t="s">
        <v>66</v>
      </c>
      <c r="B11" s="19" t="n">
        <f aca="false">SUMIFS(Seguimiento_OC!$G$5:$G$304,Seguimiento_OC!$B$5:$B$304,"&gt;="&amp;DATE(Parametros!$B$4,6,1),Seguimiento_OC!$B$5:$B$304,"&lt;"&amp;DATE(Parametros!$B$4,6+1,1))</f>
        <v>0</v>
      </c>
      <c r="C11" s="19" t="n">
        <f aca="false">SUMIFS(Seguimiento_OC!$G$5:$G$304,Seguimiento_OC!$F$5:$F$304,"Crédito",Seguimiento_OC!$B$5:$B$304,"&gt;="&amp;DATE(Parametros!$B$4,6,1),Seguimiento_OC!$B$5:$B$304,"&lt;"&amp;DATE(Parametros!$B$4,6+1,1))</f>
        <v>0</v>
      </c>
      <c r="D11" s="19" t="n">
        <f aca="false">SUMIFS(Seguimiento_OC!$G$5:$G$304,Seguimiento_OC!$F$5:$F$304,"Contado",Seguimiento_OC!$B$5:$B$304,"&gt;="&amp;DATE(Parametros!$B$4,6,1),Seguimiento_OC!$B$5:$B$304,"&lt;"&amp;DATE(Parametros!$B$4,6+1,1))</f>
        <v>0</v>
      </c>
      <c r="E11" s="20" t="n">
        <f aca="false">IF(B11=0,0,C11/B11)</f>
        <v>0</v>
      </c>
      <c r="F11" s="20" t="n">
        <f aca="false">IF(B11=0,0,D11/B11)</f>
        <v>0</v>
      </c>
      <c r="G11" s="21" t="n">
        <f aca="false">COUNTIFS(Seguimiento_OC!$B$5:$B$304,"&gt;="&amp;DATE(Parametros!$B$4,6,1),Seguimiento_OC!$B$5:$B$304,"&lt;"&amp;DATE(Parametros!$B$4,6+1,1))</f>
        <v>0</v>
      </c>
      <c r="H11" s="19" t="n">
        <f aca="false">SUMIFS(Comparativo!$S$5:$S$304,Comparativo!$B$5:$B$304,"&gt;="&amp;DATE(Parametros!$B$4,6,1),Comparativo!$B$5:$B$304,"&lt;"&amp;DATE(Parametros!$B$4,6+1,1))</f>
        <v>0</v>
      </c>
      <c r="I11" s="27" t="n">
        <f aca="false">SUMIFS(Produccion!$E$5:$E$304,Produccion!$A$5:$A$304,Parametros!$B$4,Produccion!$B$5:$B$304,6)</f>
        <v>0</v>
      </c>
      <c r="J11" s="19" t="n">
        <f aca="false">SUMIFS(Produccion!$F$5:$F$304,Produccion!$A$5:$A$304,Parametros!$B$4,Produccion!$B$5:$B$304,6)</f>
        <v>0</v>
      </c>
      <c r="K11" s="19" t="n">
        <f aca="false">IF(I11=0,0,J11/I11)</f>
        <v>0</v>
      </c>
      <c r="L11" s="19" t="n">
        <f aca="false">Consumos!Q15</f>
        <v>0</v>
      </c>
    </row>
    <row r="12" customFormat="false" ht="15" hidden="false" customHeight="false" outlineLevel="0" collapsed="false">
      <c r="A12" s="14" t="s">
        <v>68</v>
      </c>
      <c r="B12" s="19" t="n">
        <f aca="false">SUMIFS(Seguimiento_OC!$G$5:$G$304,Seguimiento_OC!$B$5:$B$304,"&gt;="&amp;DATE(Parametros!$B$4,7,1),Seguimiento_OC!$B$5:$B$304,"&lt;"&amp;DATE(Parametros!$B$4,7+1,1))</f>
        <v>0</v>
      </c>
      <c r="C12" s="19" t="n">
        <f aca="false">SUMIFS(Seguimiento_OC!$G$5:$G$304,Seguimiento_OC!$F$5:$F$304,"Crédito",Seguimiento_OC!$B$5:$B$304,"&gt;="&amp;DATE(Parametros!$B$4,7,1),Seguimiento_OC!$B$5:$B$304,"&lt;"&amp;DATE(Parametros!$B$4,7+1,1))</f>
        <v>0</v>
      </c>
      <c r="D12" s="19" t="n">
        <f aca="false">SUMIFS(Seguimiento_OC!$G$5:$G$304,Seguimiento_OC!$F$5:$F$304,"Contado",Seguimiento_OC!$B$5:$B$304,"&gt;="&amp;DATE(Parametros!$B$4,7,1),Seguimiento_OC!$B$5:$B$304,"&lt;"&amp;DATE(Parametros!$B$4,7+1,1))</f>
        <v>0</v>
      </c>
      <c r="E12" s="20" t="n">
        <f aca="false">IF(B12=0,0,C12/B12)</f>
        <v>0</v>
      </c>
      <c r="F12" s="20" t="n">
        <f aca="false">IF(B12=0,0,D12/B12)</f>
        <v>0</v>
      </c>
      <c r="G12" s="21" t="n">
        <f aca="false">COUNTIFS(Seguimiento_OC!$B$5:$B$304,"&gt;="&amp;DATE(Parametros!$B$4,7,1),Seguimiento_OC!$B$5:$B$304,"&lt;"&amp;DATE(Parametros!$B$4,7+1,1))</f>
        <v>0</v>
      </c>
      <c r="H12" s="19" t="n">
        <f aca="false">SUMIFS(Comparativo!$S$5:$S$304,Comparativo!$B$5:$B$304,"&gt;="&amp;DATE(Parametros!$B$4,7,1),Comparativo!$B$5:$B$304,"&lt;"&amp;DATE(Parametros!$B$4,7+1,1))</f>
        <v>0</v>
      </c>
      <c r="I12" s="27" t="n">
        <f aca="false">SUMIFS(Produccion!$E$5:$E$304,Produccion!$A$5:$A$304,Parametros!$B$4,Produccion!$B$5:$B$304,7)</f>
        <v>0</v>
      </c>
      <c r="J12" s="19" t="n">
        <f aca="false">SUMIFS(Produccion!$F$5:$F$304,Produccion!$A$5:$A$304,Parametros!$B$4,Produccion!$B$5:$B$304,7)</f>
        <v>0</v>
      </c>
      <c r="K12" s="19" t="n">
        <f aca="false">IF(I12=0,0,J12/I12)</f>
        <v>0</v>
      </c>
      <c r="L12" s="19" t="n">
        <f aca="false">Consumos!R15</f>
        <v>0</v>
      </c>
    </row>
    <row r="13" customFormat="false" ht="15" hidden="false" customHeight="false" outlineLevel="0" collapsed="false">
      <c r="A13" s="14" t="s">
        <v>69</v>
      </c>
      <c r="B13" s="19" t="n">
        <f aca="false">SUMIFS(Seguimiento_OC!$G$5:$G$304,Seguimiento_OC!$B$5:$B$304,"&gt;="&amp;DATE(Parametros!$B$4,8,1),Seguimiento_OC!$B$5:$B$304,"&lt;"&amp;DATE(Parametros!$B$4,8+1,1))</f>
        <v>0</v>
      </c>
      <c r="C13" s="19" t="n">
        <f aca="false">SUMIFS(Seguimiento_OC!$G$5:$G$304,Seguimiento_OC!$F$5:$F$304,"Crédito",Seguimiento_OC!$B$5:$B$304,"&gt;="&amp;DATE(Parametros!$B$4,8,1),Seguimiento_OC!$B$5:$B$304,"&lt;"&amp;DATE(Parametros!$B$4,8+1,1))</f>
        <v>0</v>
      </c>
      <c r="D13" s="19" t="n">
        <f aca="false">SUMIFS(Seguimiento_OC!$G$5:$G$304,Seguimiento_OC!$F$5:$F$304,"Contado",Seguimiento_OC!$B$5:$B$304,"&gt;="&amp;DATE(Parametros!$B$4,8,1),Seguimiento_OC!$B$5:$B$304,"&lt;"&amp;DATE(Parametros!$B$4,8+1,1))</f>
        <v>0</v>
      </c>
      <c r="E13" s="20" t="n">
        <f aca="false">IF(B13=0,0,C13/B13)</f>
        <v>0</v>
      </c>
      <c r="F13" s="20" t="n">
        <f aca="false">IF(B13=0,0,D13/B13)</f>
        <v>0</v>
      </c>
      <c r="G13" s="21" t="n">
        <f aca="false">COUNTIFS(Seguimiento_OC!$B$5:$B$304,"&gt;="&amp;DATE(Parametros!$B$4,8,1),Seguimiento_OC!$B$5:$B$304,"&lt;"&amp;DATE(Parametros!$B$4,8+1,1))</f>
        <v>0</v>
      </c>
      <c r="H13" s="19" t="n">
        <f aca="false">SUMIFS(Comparativo!$S$5:$S$304,Comparativo!$B$5:$B$304,"&gt;="&amp;DATE(Parametros!$B$4,8,1),Comparativo!$B$5:$B$304,"&lt;"&amp;DATE(Parametros!$B$4,8+1,1))</f>
        <v>0</v>
      </c>
      <c r="I13" s="27" t="n">
        <f aca="false">SUMIFS(Produccion!$E$5:$E$304,Produccion!$A$5:$A$304,Parametros!$B$4,Produccion!$B$5:$B$304,8)</f>
        <v>0</v>
      </c>
      <c r="J13" s="19" t="n">
        <f aca="false">SUMIFS(Produccion!$F$5:$F$304,Produccion!$A$5:$A$304,Parametros!$B$4,Produccion!$B$5:$B$304,8)</f>
        <v>0</v>
      </c>
      <c r="K13" s="19" t="n">
        <f aca="false">IF(I13=0,0,J13/I13)</f>
        <v>0</v>
      </c>
      <c r="L13" s="19" t="n">
        <f aca="false">Consumos!S15</f>
        <v>0</v>
      </c>
    </row>
    <row r="14" customFormat="false" ht="15" hidden="false" customHeight="false" outlineLevel="0" collapsed="false">
      <c r="A14" s="14" t="s">
        <v>70</v>
      </c>
      <c r="B14" s="19" t="n">
        <f aca="false">SUMIFS(Seguimiento_OC!$G$5:$G$304,Seguimiento_OC!$B$5:$B$304,"&gt;="&amp;DATE(Parametros!$B$4,9,1),Seguimiento_OC!$B$5:$B$304,"&lt;"&amp;DATE(Parametros!$B$4,9+1,1))</f>
        <v>0</v>
      </c>
      <c r="C14" s="19" t="n">
        <f aca="false">SUMIFS(Seguimiento_OC!$G$5:$G$304,Seguimiento_OC!$F$5:$F$304,"Crédito",Seguimiento_OC!$B$5:$B$304,"&gt;="&amp;DATE(Parametros!$B$4,9,1),Seguimiento_OC!$B$5:$B$304,"&lt;"&amp;DATE(Parametros!$B$4,9+1,1))</f>
        <v>0</v>
      </c>
      <c r="D14" s="19" t="n">
        <f aca="false">SUMIFS(Seguimiento_OC!$G$5:$G$304,Seguimiento_OC!$F$5:$F$304,"Contado",Seguimiento_OC!$B$5:$B$304,"&gt;="&amp;DATE(Parametros!$B$4,9,1),Seguimiento_OC!$B$5:$B$304,"&lt;"&amp;DATE(Parametros!$B$4,9+1,1))</f>
        <v>0</v>
      </c>
      <c r="E14" s="20" t="n">
        <f aca="false">IF(B14=0,0,C14/B14)</f>
        <v>0</v>
      </c>
      <c r="F14" s="20" t="n">
        <f aca="false">IF(B14=0,0,D14/B14)</f>
        <v>0</v>
      </c>
      <c r="G14" s="21" t="n">
        <f aca="false">COUNTIFS(Seguimiento_OC!$B$5:$B$304,"&gt;="&amp;DATE(Parametros!$B$4,9,1),Seguimiento_OC!$B$5:$B$304,"&lt;"&amp;DATE(Parametros!$B$4,9+1,1))</f>
        <v>0</v>
      </c>
      <c r="H14" s="19" t="n">
        <f aca="false">SUMIFS(Comparativo!$S$5:$S$304,Comparativo!$B$5:$B$304,"&gt;="&amp;DATE(Parametros!$B$4,9,1),Comparativo!$B$5:$B$304,"&lt;"&amp;DATE(Parametros!$B$4,9+1,1))</f>
        <v>0</v>
      </c>
      <c r="I14" s="27" t="n">
        <f aca="false">SUMIFS(Produccion!$E$5:$E$304,Produccion!$A$5:$A$304,Parametros!$B$4,Produccion!$B$5:$B$304,9)</f>
        <v>2660</v>
      </c>
      <c r="J14" s="19" t="n">
        <f aca="false">SUMIFS(Produccion!$F$5:$F$304,Produccion!$A$5:$A$304,Parametros!$B$4,Produccion!$B$5:$B$304,9)</f>
        <v>183300</v>
      </c>
      <c r="K14" s="19" t="n">
        <f aca="false">IF(I14=0,0,J14/I14)</f>
        <v>68.9097744360902</v>
      </c>
      <c r="L14" s="19" t="n">
        <f aca="false">Consumos!T15</f>
        <v>0</v>
      </c>
    </row>
    <row r="15" customFormat="false" ht="15" hidden="false" customHeight="false" outlineLevel="0" collapsed="false">
      <c r="A15" s="14" t="s">
        <v>71</v>
      </c>
      <c r="B15" s="19" t="n">
        <f aca="false">SUMIFS(Seguimiento_OC!$G$5:$G$304,Seguimiento_OC!$B$5:$B$304,"&gt;="&amp;DATE(Parametros!$B$4,10,1),Seguimiento_OC!$B$5:$B$304,"&lt;"&amp;DATE(Parametros!$B$4,10+1,1))</f>
        <v>9327.32</v>
      </c>
      <c r="C15" s="19" t="n">
        <f aca="false">SUMIFS(Seguimiento_OC!$G$5:$G$304,Seguimiento_OC!$F$5:$F$304,"Crédito",Seguimiento_OC!$B$5:$B$304,"&gt;="&amp;DATE(Parametros!$B$4,10,1),Seguimiento_OC!$B$5:$B$304,"&lt;"&amp;DATE(Parametros!$B$4,10+1,1))</f>
        <v>4017.32</v>
      </c>
      <c r="D15" s="19" t="n">
        <f aca="false">SUMIFS(Seguimiento_OC!$G$5:$G$304,Seguimiento_OC!$F$5:$F$304,"Contado",Seguimiento_OC!$B$5:$B$304,"&gt;="&amp;DATE(Parametros!$B$4,10,1),Seguimiento_OC!$B$5:$B$304,"&lt;"&amp;DATE(Parametros!$B$4,10+1,1))</f>
        <v>5310</v>
      </c>
      <c r="E15" s="20" t="n">
        <f aca="false">IF(B15=0,0,C15/B15)</f>
        <v>0.43070463970358</v>
      </c>
      <c r="F15" s="20" t="n">
        <f aca="false">IF(B15=0,0,D15/B15)</f>
        <v>0.56929536029642</v>
      </c>
      <c r="G15" s="21" t="n">
        <f aca="false">COUNTIFS(Seguimiento_OC!$B$5:$B$304,"&gt;="&amp;DATE(Parametros!$B$4,10,1),Seguimiento_OC!$B$5:$B$304,"&lt;"&amp;DATE(Parametros!$B$4,10+1,1))</f>
        <v>3</v>
      </c>
      <c r="H15" s="19" t="n">
        <f aca="false">SUMIFS(Comparativo!$S$5:$S$304,Comparativo!$B$5:$B$304,"&gt;="&amp;DATE(Parametros!$B$4,10,1),Comparativo!$B$5:$B$304,"&lt;"&amp;DATE(Parametros!$B$4,10+1,1))</f>
        <v>340</v>
      </c>
      <c r="I15" s="27" t="n">
        <f aca="false">SUMIFS(Produccion!$E$5:$E$304,Produccion!$A$5:$A$304,Parametros!$B$4,Produccion!$B$5:$B$304,10)</f>
        <v>1500</v>
      </c>
      <c r="J15" s="19" t="n">
        <f aca="false">SUMIFS(Produccion!$F$5:$F$304,Produccion!$A$5:$A$304,Parametros!$B$4,Produccion!$B$5:$B$304,10)</f>
        <v>100500</v>
      </c>
      <c r="K15" s="19" t="n">
        <f aca="false">IF(I15=0,0,J15/I15)</f>
        <v>67</v>
      </c>
      <c r="L15" s="19" t="n">
        <f aca="false">Consumos!U15</f>
        <v>1107.5</v>
      </c>
    </row>
    <row r="16" customFormat="false" ht="15" hidden="false" customHeight="false" outlineLevel="0" collapsed="false">
      <c r="A16" s="14" t="s">
        <v>72</v>
      </c>
      <c r="B16" s="19" t="n">
        <f aca="false">SUMIFS(Seguimiento_OC!$G$5:$G$304,Seguimiento_OC!$B$5:$B$304,"&gt;="&amp;DATE(Parametros!$B$4,11,1),Seguimiento_OC!$B$5:$B$304,"&lt;"&amp;DATE(Parametros!$B$4,11+1,1))</f>
        <v>0</v>
      </c>
      <c r="C16" s="19" t="n">
        <f aca="false">SUMIFS(Seguimiento_OC!$G$5:$G$304,Seguimiento_OC!$F$5:$F$304,"Crédito",Seguimiento_OC!$B$5:$B$304,"&gt;="&amp;DATE(Parametros!$B$4,11,1),Seguimiento_OC!$B$5:$B$304,"&lt;"&amp;DATE(Parametros!$B$4,11+1,1))</f>
        <v>0</v>
      </c>
      <c r="D16" s="19" t="n">
        <f aca="false">SUMIFS(Seguimiento_OC!$G$5:$G$304,Seguimiento_OC!$F$5:$F$304,"Contado",Seguimiento_OC!$B$5:$B$304,"&gt;="&amp;DATE(Parametros!$B$4,11,1),Seguimiento_OC!$B$5:$B$304,"&lt;"&amp;DATE(Parametros!$B$4,11+1,1))</f>
        <v>0</v>
      </c>
      <c r="E16" s="20" t="n">
        <f aca="false">IF(B16=0,0,C16/B16)</f>
        <v>0</v>
      </c>
      <c r="F16" s="20" t="n">
        <f aca="false">IF(B16=0,0,D16/B16)</f>
        <v>0</v>
      </c>
      <c r="G16" s="21" t="n">
        <f aca="false">COUNTIFS(Seguimiento_OC!$B$5:$B$304,"&gt;="&amp;DATE(Parametros!$B$4,11,1),Seguimiento_OC!$B$5:$B$304,"&lt;"&amp;DATE(Parametros!$B$4,11+1,1))</f>
        <v>0</v>
      </c>
      <c r="H16" s="19" t="n">
        <f aca="false">SUMIFS(Comparativo!$S$5:$S$304,Comparativo!$B$5:$B$304,"&gt;="&amp;DATE(Parametros!$B$4,11,1),Comparativo!$B$5:$B$304,"&lt;"&amp;DATE(Parametros!$B$4,11+1,1))</f>
        <v>0</v>
      </c>
      <c r="I16" s="27" t="n">
        <f aca="false">SUMIFS(Produccion!$E$5:$E$304,Produccion!$A$5:$A$304,Parametros!$B$4,Produccion!$B$5:$B$304,11)</f>
        <v>0</v>
      </c>
      <c r="J16" s="19" t="n">
        <f aca="false">SUMIFS(Produccion!$F$5:$F$304,Produccion!$A$5:$A$304,Parametros!$B$4,Produccion!$B$5:$B$304,11)</f>
        <v>0</v>
      </c>
      <c r="K16" s="19" t="n">
        <f aca="false">IF(I16=0,0,J16/I16)</f>
        <v>0</v>
      </c>
      <c r="L16" s="19" t="n">
        <f aca="false">Consumos!V15</f>
        <v>0</v>
      </c>
    </row>
    <row r="17" customFormat="false" ht="15" hidden="false" customHeight="false" outlineLevel="0" collapsed="false">
      <c r="A17" s="14" t="s">
        <v>73</v>
      </c>
      <c r="B17" s="19" t="n">
        <f aca="false">SUMIFS(Seguimiento_OC!$G$5:$G$304,Seguimiento_OC!$B$5:$B$304,"&gt;="&amp;DATE(Parametros!$B$4,12,1),Seguimiento_OC!$B$5:$B$304,"&lt;"&amp;DATE(Parametros!$B$4,12+1,1))</f>
        <v>0</v>
      </c>
      <c r="C17" s="19" t="n">
        <f aca="false">SUMIFS(Seguimiento_OC!$G$5:$G$304,Seguimiento_OC!$F$5:$F$304,"Crédito",Seguimiento_OC!$B$5:$B$304,"&gt;="&amp;DATE(Parametros!$B$4,12,1),Seguimiento_OC!$B$5:$B$304,"&lt;"&amp;DATE(Parametros!$B$4,12+1,1))</f>
        <v>0</v>
      </c>
      <c r="D17" s="19" t="n">
        <f aca="false">SUMIFS(Seguimiento_OC!$G$5:$G$304,Seguimiento_OC!$F$5:$F$304,"Contado",Seguimiento_OC!$B$5:$B$304,"&gt;="&amp;DATE(Parametros!$B$4,12,1),Seguimiento_OC!$B$5:$B$304,"&lt;"&amp;DATE(Parametros!$B$4,12+1,1))</f>
        <v>0</v>
      </c>
      <c r="E17" s="20" t="n">
        <f aca="false">IF(B17=0,0,C17/B17)</f>
        <v>0</v>
      </c>
      <c r="F17" s="20" t="n">
        <f aca="false">IF(B17=0,0,D17/B17)</f>
        <v>0</v>
      </c>
      <c r="G17" s="21" t="n">
        <f aca="false">COUNTIFS(Seguimiento_OC!$B$5:$B$304,"&gt;="&amp;DATE(Parametros!$B$4,12,1),Seguimiento_OC!$B$5:$B$304,"&lt;"&amp;DATE(Parametros!$B$4,12+1,1))</f>
        <v>0</v>
      </c>
      <c r="H17" s="19" t="n">
        <f aca="false">SUMIFS(Comparativo!$S$5:$S$304,Comparativo!$B$5:$B$304,"&gt;="&amp;DATE(Parametros!$B$4,12,1),Comparativo!$B$5:$B$304,"&lt;"&amp;DATE(Parametros!$B$4,12+1,1))</f>
        <v>0</v>
      </c>
      <c r="I17" s="27" t="n">
        <f aca="false">SUMIFS(Produccion!$E$5:$E$304,Produccion!$A$5:$A$304,Parametros!$B$4,Produccion!$B$5:$B$304,12)</f>
        <v>0</v>
      </c>
      <c r="J17" s="19" t="n">
        <f aca="false">SUMIFS(Produccion!$F$5:$F$304,Produccion!$A$5:$A$304,Parametros!$B$4,Produccion!$B$5:$B$304,12)</f>
        <v>0</v>
      </c>
      <c r="K17" s="19" t="n">
        <f aca="false">IF(I17=0,0,J17/I17)</f>
        <v>0</v>
      </c>
      <c r="L17" s="19" t="n">
        <f aca="false">Consumos!W15</f>
        <v>0</v>
      </c>
    </row>
    <row r="18" customFormat="false" ht="15" hidden="false" customHeight="false" outlineLevel="0" collapsed="false">
      <c r="A18" s="28" t="s">
        <v>171</v>
      </c>
      <c r="B18" s="25" t="n">
        <f aca="false">SUM(B6:B17)</f>
        <v>9327.32</v>
      </c>
      <c r="C18" s="25" t="n">
        <f aca="false">SUM(C6:C17)</f>
        <v>4017.32</v>
      </c>
      <c r="D18" s="25" t="n">
        <f aca="false">SUM(D6:D17)</f>
        <v>5310</v>
      </c>
      <c r="E18" s="29" t="n">
        <f aca="false">IF(B18=0,0,C18/B18)</f>
        <v>0.43070463970358</v>
      </c>
      <c r="F18" s="29" t="n">
        <f aca="false">IF(B18=0,0,D18/B18)</f>
        <v>0.56929536029642</v>
      </c>
      <c r="G18" s="30" t="n">
        <f aca="false">SUM(G6:G17)</f>
        <v>3</v>
      </c>
      <c r="H18" s="25" t="n">
        <f aca="false">SUM(H6:H17)</f>
        <v>340</v>
      </c>
      <c r="I18" s="31" t="n">
        <f aca="false">SUM(I6:I17)</f>
        <v>4160</v>
      </c>
      <c r="J18" s="25" t="n">
        <f aca="false">SUM(J6:J17)</f>
        <v>283800</v>
      </c>
      <c r="K18" s="25" t="n">
        <f aca="false">IF(I18=0,0,J18/I18)</f>
        <v>68.2211538461538</v>
      </c>
      <c r="L18" s="25" t="n">
        <f aca="false">SUM(L6:L17)</f>
        <v>1107.5</v>
      </c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customFormat="false" ht="15" hidden="false" customHeight="false" outlineLevel="0" collapsed="false">
      <c r="A21" s="32" t="s">
        <v>185</v>
      </c>
      <c r="B21" s="2"/>
      <c r="C21" s="2"/>
      <c r="D21" s="2"/>
      <c r="E21" s="2"/>
      <c r="F21" s="2"/>
      <c r="G21" s="2"/>
      <c r="H21" s="32" t="s">
        <v>186</v>
      </c>
      <c r="I21" s="2"/>
      <c r="J21" s="2"/>
      <c r="K21" s="2"/>
      <c r="L21" s="2"/>
    </row>
    <row r="22" customFormat="false" ht="15" hidden="false" customHeight="false" outlineLevel="0" collapsed="false">
      <c r="A22" s="12" t="s">
        <v>79</v>
      </c>
      <c r="B22" s="12" t="s">
        <v>187</v>
      </c>
      <c r="C22" s="12" t="s">
        <v>188</v>
      </c>
      <c r="D22" s="12" t="s">
        <v>123</v>
      </c>
      <c r="E22" s="12" t="s">
        <v>189</v>
      </c>
      <c r="F22" s="12" t="s">
        <v>190</v>
      </c>
      <c r="G22" s="2"/>
      <c r="H22" s="12" t="s">
        <v>159</v>
      </c>
      <c r="I22" s="12" t="s">
        <v>187</v>
      </c>
      <c r="J22" s="12" t="s">
        <v>123</v>
      </c>
      <c r="K22" s="12" t="s">
        <v>191</v>
      </c>
      <c r="L22" s="2"/>
    </row>
    <row r="23" customFormat="false" ht="15" hidden="false" customHeight="false" outlineLevel="0" collapsed="false">
      <c r="A23" s="23" t="str">
        <f aca="false">IF(Parametros!$B$7="","",Parametros!$B$7)</f>
        <v>Material médico</v>
      </c>
      <c r="B23" s="19" t="n">
        <f aca="false">IF(A23="","",SUMIFS(Seguimiento_OC!$G$5:$G$304,Seguimiento_OC!$D$5:$D$304,A23,Seguimiento_OC!$B$5:$B$304,"&gt;="&amp;DATE(Parametros!$B$4,1,1),Seguimiento_OC!$B$5:$B$304,"&lt;"&amp;DATE(Parametros!$B$4+1,1,1)))</f>
        <v>3384.84</v>
      </c>
      <c r="C23" s="20" t="n">
        <f aca="false">IF(OR(A23="",$B$18=0),"",B23/$B$18)</f>
        <v>0.362895236788274</v>
      </c>
      <c r="D23" s="21" t="n">
        <f aca="false">IF(A23="","",COUNTIFS(Seguimiento_OC!$D$5:$D$304,A23,Seguimiento_OC!$B$5:$B$304,"&gt;="&amp;DATE(Parametros!$B$4,1,1),Seguimiento_OC!$B$5:$B$304,"&lt;"&amp;DATE(Parametros!$B$4+1,1,1)))</f>
        <v>1</v>
      </c>
      <c r="E23" s="19" t="n">
        <f aca="false">IF(A23="","",SUMIFS(Comparativo!$S$5:$S$304,Comparativo!$C$5:$C$304,A23,Comparativo!$B$5:$B$304,"&gt;="&amp;DATE(Parametros!$B$4,1,1),Comparativo!$B$5:$B$304,"&lt;"&amp;DATE(Parametros!$B$4+1,1,1)))</f>
        <v>300</v>
      </c>
      <c r="F23" s="20" t="n">
        <f aca="false">IF(OR(A23="",N(B23)=0),"",E23/B23)</f>
        <v>0.088630481795299</v>
      </c>
      <c r="G23" s="2"/>
      <c r="H23" s="23" t="str">
        <f aca="false">IF(Parametros!$A$7="","",Parametros!$A$7)</f>
        <v>Lima - Sede Central</v>
      </c>
      <c r="I23" s="33" t="n">
        <f aca="false">IF(H23="","",SUMIFS(Seguimiento_OC!$G$5:$G$304,Seguimiento_OC!$E$5:$E$304,H23,Seguimiento_OC!$B$5:$B$304,"&gt;="&amp;DATE(Parametros!$B$4,1,1),Seguimiento_OC!$B$5:$B$304,"&lt;"&amp;DATE(Parametros!$B$4+1,1,1)))</f>
        <v>5310</v>
      </c>
      <c r="J23" s="34" t="n">
        <f aca="false">IF(H23="","",COUNTIFS(Seguimiento_OC!$E$5:$E$304,H23,Seguimiento_OC!$B$5:$B$304,"&gt;="&amp;DATE(Parametros!$B$4,1,1),Seguimiento_OC!$B$5:$B$304,"&lt;"&amp;DATE(Parametros!$B$4+1,1,1)))</f>
        <v>1</v>
      </c>
      <c r="K23" s="34" t="n">
        <f aca="false">IF(H23="","",COUNTIFS(Seguimiento_OC!$E$5:$E$304,H23,Seguimiento_OC!$Y$5:$Y$304,"Vencida")+COUNTIFS(Seguimiento_OC!$E$5:$E$304,H23,Seguimiento_OC!$Y$5:$Y$304,"Parcial"))</f>
        <v>1</v>
      </c>
      <c r="L23" s="2"/>
    </row>
    <row r="24" customFormat="false" ht="15" hidden="false" customHeight="false" outlineLevel="0" collapsed="false">
      <c r="A24" s="23" t="str">
        <f aca="false">IF(Parametros!$B$8="","",Parametros!$B$8)</f>
        <v>Medicamentos</v>
      </c>
      <c r="B24" s="19" t="n">
        <f aca="false">IF(A24="","",SUMIFS(Seguimiento_OC!$G$5:$G$304,Seguimiento_OC!$D$5:$D$304,A24,Seguimiento_OC!$B$5:$B$304,"&gt;="&amp;DATE(Parametros!$B$4,1,1),Seguimiento_OC!$B$5:$B$304,"&lt;"&amp;DATE(Parametros!$B$4+1,1,1)))</f>
        <v>5310</v>
      </c>
      <c r="C24" s="20" t="n">
        <f aca="false">IF(OR(A24="",$B$18=0),"",B24/$B$18)</f>
        <v>0.56929536029642</v>
      </c>
      <c r="D24" s="21" t="n">
        <f aca="false">IF(A24="","",COUNTIFS(Seguimiento_OC!$D$5:$D$304,A24,Seguimiento_OC!$B$5:$B$304,"&gt;="&amp;DATE(Parametros!$B$4,1,1),Seguimiento_OC!$B$5:$B$304,"&lt;"&amp;DATE(Parametros!$B$4+1,1,1)))</f>
        <v>1</v>
      </c>
      <c r="E24" s="19" t="n">
        <f aca="false">IF(A24="","",SUMIFS(Comparativo!$S$5:$S$304,Comparativo!$C$5:$C$304,A24,Comparativo!$B$5:$B$304,"&gt;="&amp;DATE(Parametros!$B$4,1,1),Comparativo!$B$5:$B$304,"&lt;"&amp;DATE(Parametros!$B$4+1,1,1)))</f>
        <v>0</v>
      </c>
      <c r="F24" s="20" t="n">
        <f aca="false">IF(OR(A24="",N(B24)=0),"",E24/B24)</f>
        <v>0</v>
      </c>
      <c r="G24" s="2"/>
      <c r="H24" s="23" t="str">
        <f aca="false">IF(Parametros!$A$8="","",Parametros!$A$8)</f>
        <v>Chimbote</v>
      </c>
      <c r="I24" s="33" t="n">
        <f aca="false">IF(H24="","",SUMIFS(Seguimiento_OC!$G$5:$G$304,Seguimiento_OC!$E$5:$E$304,H24,Seguimiento_OC!$B$5:$B$304,"&gt;="&amp;DATE(Parametros!$B$4,1,1),Seguimiento_OC!$B$5:$B$304,"&lt;"&amp;DATE(Parametros!$B$4+1,1,1)))</f>
        <v>3384.84</v>
      </c>
      <c r="J24" s="34" t="n">
        <f aca="false">IF(H24="","",COUNTIFS(Seguimiento_OC!$E$5:$E$304,H24,Seguimiento_OC!$B$5:$B$304,"&gt;="&amp;DATE(Parametros!$B$4,1,1),Seguimiento_OC!$B$5:$B$304,"&lt;"&amp;DATE(Parametros!$B$4+1,1,1)))</f>
        <v>1</v>
      </c>
      <c r="K24" s="34" t="n">
        <f aca="false">IF(H24="","",COUNTIFS(Seguimiento_OC!$E$5:$E$304,H24,Seguimiento_OC!$Y$5:$Y$304,"Vencida")+COUNTIFS(Seguimiento_OC!$E$5:$E$304,H24,Seguimiento_OC!$Y$5:$Y$304,"Parcial"))</f>
        <v>0</v>
      </c>
      <c r="L24" s="2"/>
    </row>
    <row r="25" customFormat="false" ht="15" hidden="false" customHeight="false" outlineLevel="0" collapsed="false">
      <c r="A25" s="23" t="str">
        <f aca="false">IF(Parametros!$B$9="","",Parametros!$B$9)</f>
        <v>Insumos de laboratorio</v>
      </c>
      <c r="B25" s="19" t="n">
        <f aca="false">IF(A25="","",SUMIFS(Seguimiento_OC!$G$5:$G$304,Seguimiento_OC!$D$5:$D$304,A25,Seguimiento_OC!$B$5:$B$304,"&gt;="&amp;DATE(Parametros!$B$4,1,1),Seguimiento_OC!$B$5:$B$304,"&lt;"&amp;DATE(Parametros!$B$4+1,1,1)))</f>
        <v>0</v>
      </c>
      <c r="C25" s="20" t="n">
        <f aca="false">IF(OR(A25="",$B$18=0),"",B25/$B$18)</f>
        <v>0</v>
      </c>
      <c r="D25" s="21" t="n">
        <f aca="false">IF(A25="","",COUNTIFS(Seguimiento_OC!$D$5:$D$304,A25,Seguimiento_OC!$B$5:$B$304,"&gt;="&amp;DATE(Parametros!$B$4,1,1),Seguimiento_OC!$B$5:$B$304,"&lt;"&amp;DATE(Parametros!$B$4+1,1,1)))</f>
        <v>0</v>
      </c>
      <c r="E25" s="19" t="n">
        <f aca="false">IF(A25="","",SUMIFS(Comparativo!$S$5:$S$304,Comparativo!$C$5:$C$304,A25,Comparativo!$B$5:$B$304,"&gt;="&amp;DATE(Parametros!$B$4,1,1),Comparativo!$B$5:$B$304,"&lt;"&amp;DATE(Parametros!$B$4+1,1,1)))</f>
        <v>0</v>
      </c>
      <c r="F25" s="20" t="str">
        <f aca="false">IF(OR(A25="",N(B25)=0),"",E25/B25)</f>
        <v/>
      </c>
      <c r="G25" s="2"/>
      <c r="H25" s="23" t="str">
        <f aca="false">IF(Parametros!$A$9="","",Parametros!$A$9)</f>
        <v>Trujillo</v>
      </c>
      <c r="I25" s="33" t="n">
        <f aca="false">IF(H25="","",SUMIFS(Seguimiento_OC!$G$5:$G$304,Seguimiento_OC!$E$5:$E$304,H25,Seguimiento_OC!$B$5:$B$304,"&gt;="&amp;DATE(Parametros!$B$4,1,1),Seguimiento_OC!$B$5:$B$304,"&lt;"&amp;DATE(Parametros!$B$4+1,1,1)))</f>
        <v>632.48</v>
      </c>
      <c r="J25" s="34" t="n">
        <f aca="false">IF(H25="","",COUNTIFS(Seguimiento_OC!$E$5:$E$304,H25,Seguimiento_OC!$B$5:$B$304,"&gt;="&amp;DATE(Parametros!$B$4,1,1),Seguimiento_OC!$B$5:$B$304,"&lt;"&amp;DATE(Parametros!$B$4+1,1,1)))</f>
        <v>1</v>
      </c>
      <c r="K25" s="34" t="n">
        <f aca="false">IF(H25="","",COUNTIFS(Seguimiento_OC!$E$5:$E$304,H25,Seguimiento_OC!$Y$5:$Y$304,"Vencida")+COUNTIFS(Seguimiento_OC!$E$5:$E$304,H25,Seguimiento_OC!$Y$5:$Y$304,"Parcial"))</f>
        <v>0</v>
      </c>
      <c r="L25" s="2"/>
    </row>
    <row r="26" customFormat="false" ht="15" hidden="false" customHeight="false" outlineLevel="0" collapsed="false">
      <c r="A26" s="23" t="str">
        <f aca="false">IF(Parametros!$B$10="","",Parametros!$B$10)</f>
        <v>Limpieza y desinfección</v>
      </c>
      <c r="B26" s="19" t="n">
        <f aca="false">IF(A26="","",SUMIFS(Seguimiento_OC!$G$5:$G$304,Seguimiento_OC!$D$5:$D$304,A26,Seguimiento_OC!$B$5:$B$304,"&gt;="&amp;DATE(Parametros!$B$4,1,1),Seguimiento_OC!$B$5:$B$304,"&lt;"&amp;DATE(Parametros!$B$4+1,1,1)))</f>
        <v>632.48</v>
      </c>
      <c r="C26" s="20" t="n">
        <f aca="false">IF(OR(A26="",$B$18=0),"",B26/$B$18)</f>
        <v>0.0678094029153069</v>
      </c>
      <c r="D26" s="21" t="n">
        <f aca="false">IF(A26="","",COUNTIFS(Seguimiento_OC!$D$5:$D$304,A26,Seguimiento_OC!$B$5:$B$304,"&gt;="&amp;DATE(Parametros!$B$4,1,1),Seguimiento_OC!$B$5:$B$304,"&lt;"&amp;DATE(Parametros!$B$4+1,1,1)))</f>
        <v>1</v>
      </c>
      <c r="E26" s="19" t="n">
        <f aca="false">IF(A26="","",SUMIFS(Comparativo!$S$5:$S$304,Comparativo!$C$5:$C$304,A26,Comparativo!$B$5:$B$304,"&gt;="&amp;DATE(Parametros!$B$4,1,1),Comparativo!$B$5:$B$304,"&lt;"&amp;DATE(Parametros!$B$4+1,1,1)))</f>
        <v>40</v>
      </c>
      <c r="F26" s="20" t="n">
        <f aca="false">IF(OR(A26="",N(B26)=0),"",E26/B26)</f>
        <v>0.0632431065013914</v>
      </c>
      <c r="G26" s="2"/>
      <c r="H26" s="23" t="str">
        <f aca="false">IF(Parametros!$A$10="","",Parametros!$A$10)</f>
        <v>Chiclayo</v>
      </c>
      <c r="I26" s="33" t="n">
        <f aca="false">IF(H26="","",SUMIFS(Seguimiento_OC!$G$5:$G$304,Seguimiento_OC!$E$5:$E$304,H26,Seguimiento_OC!$B$5:$B$304,"&gt;="&amp;DATE(Parametros!$B$4,1,1),Seguimiento_OC!$B$5:$B$304,"&lt;"&amp;DATE(Parametros!$B$4+1,1,1)))</f>
        <v>0</v>
      </c>
      <c r="J26" s="34" t="n">
        <f aca="false">IF(H26="","",COUNTIFS(Seguimiento_OC!$E$5:$E$304,H26,Seguimiento_OC!$B$5:$B$304,"&gt;="&amp;DATE(Parametros!$B$4,1,1),Seguimiento_OC!$B$5:$B$304,"&lt;"&amp;DATE(Parametros!$B$4+1,1,1)))</f>
        <v>0</v>
      </c>
      <c r="K26" s="34" t="n">
        <f aca="false">IF(H26="","",COUNTIFS(Seguimiento_OC!$E$5:$E$304,H26,Seguimiento_OC!$Y$5:$Y$304,"Vencida")+COUNTIFS(Seguimiento_OC!$E$5:$E$304,H26,Seguimiento_OC!$Y$5:$Y$304,"Parcial"))</f>
        <v>0</v>
      </c>
      <c r="L26" s="2"/>
    </row>
    <row r="27" customFormat="false" ht="15" hidden="false" customHeight="false" outlineLevel="0" collapsed="false">
      <c r="A27" s="23" t="str">
        <f aca="false">IF(Parametros!$B$11="","",Parametros!$B$11)</f>
        <v>Ropa y lavandería</v>
      </c>
      <c r="B27" s="19" t="n">
        <f aca="false">IF(A27="","",SUMIFS(Seguimiento_OC!$G$5:$G$304,Seguimiento_OC!$D$5:$D$304,A27,Seguimiento_OC!$B$5:$B$304,"&gt;="&amp;DATE(Parametros!$B$4,1,1),Seguimiento_OC!$B$5:$B$304,"&lt;"&amp;DATE(Parametros!$B$4+1,1,1)))</f>
        <v>0</v>
      </c>
      <c r="C27" s="20" t="n">
        <f aca="false">IF(OR(A27="",$B$18=0),"",B27/$B$18)</f>
        <v>0</v>
      </c>
      <c r="D27" s="21" t="n">
        <f aca="false">IF(A27="","",COUNTIFS(Seguimiento_OC!$D$5:$D$304,A27,Seguimiento_OC!$B$5:$B$304,"&gt;="&amp;DATE(Parametros!$B$4,1,1),Seguimiento_OC!$B$5:$B$304,"&lt;"&amp;DATE(Parametros!$B$4+1,1,1)))</f>
        <v>0</v>
      </c>
      <c r="E27" s="19" t="n">
        <f aca="false">IF(A27="","",SUMIFS(Comparativo!$S$5:$S$304,Comparativo!$C$5:$C$304,A27,Comparativo!$B$5:$B$304,"&gt;="&amp;DATE(Parametros!$B$4,1,1),Comparativo!$B$5:$B$304,"&lt;"&amp;DATE(Parametros!$B$4+1,1,1)))</f>
        <v>0</v>
      </c>
      <c r="F27" s="20" t="str">
        <f aca="false">IF(OR(A27="",N(B27)=0),"",E27/B27)</f>
        <v/>
      </c>
      <c r="G27" s="2"/>
      <c r="H27" s="23" t="str">
        <f aca="false">IF(Parametros!$A$11="","",Parametros!$A$11)</f>
        <v>Piura</v>
      </c>
      <c r="I27" s="33" t="n">
        <f aca="false">IF(H27="","",SUMIFS(Seguimiento_OC!$G$5:$G$304,Seguimiento_OC!$E$5:$E$304,H27,Seguimiento_OC!$B$5:$B$304,"&gt;="&amp;DATE(Parametros!$B$4,1,1),Seguimiento_OC!$B$5:$B$304,"&lt;"&amp;DATE(Parametros!$B$4+1,1,1)))</f>
        <v>0</v>
      </c>
      <c r="J27" s="34" t="n">
        <f aca="false">IF(H27="","",COUNTIFS(Seguimiento_OC!$E$5:$E$304,H27,Seguimiento_OC!$B$5:$B$304,"&gt;="&amp;DATE(Parametros!$B$4,1,1),Seguimiento_OC!$B$5:$B$304,"&lt;"&amp;DATE(Parametros!$B$4+1,1,1)))</f>
        <v>0</v>
      </c>
      <c r="K27" s="34" t="n">
        <f aca="false">IF(H27="","",COUNTIFS(Seguimiento_OC!$E$5:$E$304,H27,Seguimiento_OC!$Y$5:$Y$304,"Vencida")+COUNTIFS(Seguimiento_OC!$E$5:$E$304,H27,Seguimiento_OC!$Y$5:$Y$304,"Parcial"))</f>
        <v>0</v>
      </c>
      <c r="L27" s="2"/>
    </row>
    <row r="28" customFormat="false" ht="15" hidden="false" customHeight="false" outlineLevel="0" collapsed="false">
      <c r="A28" s="23" t="str">
        <f aca="false">IF(Parametros!$B$12="","",Parametros!$B$12)</f>
        <v>Oficina</v>
      </c>
      <c r="B28" s="19" t="n">
        <f aca="false">IF(A28="","",SUMIFS(Seguimiento_OC!$G$5:$G$304,Seguimiento_OC!$D$5:$D$304,A28,Seguimiento_OC!$B$5:$B$304,"&gt;="&amp;DATE(Parametros!$B$4,1,1),Seguimiento_OC!$B$5:$B$304,"&lt;"&amp;DATE(Parametros!$B$4+1,1,1)))</f>
        <v>0</v>
      </c>
      <c r="C28" s="20" t="n">
        <f aca="false">IF(OR(A28="",$B$18=0),"",B28/$B$18)</f>
        <v>0</v>
      </c>
      <c r="D28" s="21" t="n">
        <f aca="false">IF(A28="","",COUNTIFS(Seguimiento_OC!$D$5:$D$304,A28,Seguimiento_OC!$B$5:$B$304,"&gt;="&amp;DATE(Parametros!$B$4,1,1),Seguimiento_OC!$B$5:$B$304,"&lt;"&amp;DATE(Parametros!$B$4+1,1,1)))</f>
        <v>0</v>
      </c>
      <c r="E28" s="19" t="n">
        <f aca="false">IF(A28="","",SUMIFS(Comparativo!$S$5:$S$304,Comparativo!$C$5:$C$304,A28,Comparativo!$B$5:$B$304,"&gt;="&amp;DATE(Parametros!$B$4,1,1),Comparativo!$B$5:$B$304,"&lt;"&amp;DATE(Parametros!$B$4+1,1,1)))</f>
        <v>0</v>
      </c>
      <c r="F28" s="20" t="str">
        <f aca="false">IF(OR(A28="",N(B28)=0),"",E28/B28)</f>
        <v/>
      </c>
      <c r="G28" s="2"/>
      <c r="H28" s="23" t="str">
        <f aca="false">IF(Parametros!$A$12="","",Parametros!$A$12)</f>
        <v/>
      </c>
      <c r="I28" s="33" t="str">
        <f aca="false">IF(H28="","",SUMIFS(Seguimiento_OC!$G$5:$G$304,Seguimiento_OC!$E$5:$E$304,H28,Seguimiento_OC!$B$5:$B$304,"&gt;="&amp;DATE(Parametros!$B$4,1,1),Seguimiento_OC!$B$5:$B$304,"&lt;"&amp;DATE(Parametros!$B$4+1,1,1)))</f>
        <v/>
      </c>
      <c r="J28" s="34" t="str">
        <f aca="false">IF(H28="","",COUNTIFS(Seguimiento_OC!$E$5:$E$304,H28,Seguimiento_OC!$B$5:$B$304,"&gt;="&amp;DATE(Parametros!$B$4,1,1),Seguimiento_OC!$B$5:$B$304,"&lt;"&amp;DATE(Parametros!$B$4+1,1,1)))</f>
        <v/>
      </c>
      <c r="K28" s="34" t="str">
        <f aca="false">IF(H28="","",COUNTIFS(Seguimiento_OC!$E$5:$E$304,H28,Seguimiento_OC!$Y$5:$Y$304,"Vencida")+COUNTIFS(Seguimiento_OC!$E$5:$E$304,H28,Seguimiento_OC!$Y$5:$Y$304,"Parcial"))</f>
        <v/>
      </c>
      <c r="L28" s="2"/>
    </row>
    <row r="29" customFormat="false" ht="15" hidden="false" customHeight="false" outlineLevel="0" collapsed="false">
      <c r="A29" s="23" t="str">
        <f aca="false">IF(Parametros!$B$13="","",Parametros!$B$13)</f>
        <v>Mantenimiento</v>
      </c>
      <c r="B29" s="19" t="n">
        <f aca="false">IF(A29="","",SUMIFS(Seguimiento_OC!$G$5:$G$304,Seguimiento_OC!$D$5:$D$304,A29,Seguimiento_OC!$B$5:$B$304,"&gt;="&amp;DATE(Parametros!$B$4,1,1),Seguimiento_OC!$B$5:$B$304,"&lt;"&amp;DATE(Parametros!$B$4+1,1,1)))</f>
        <v>0</v>
      </c>
      <c r="C29" s="20" t="n">
        <f aca="false">IF(OR(A29="",$B$18=0),"",B29/$B$18)</f>
        <v>0</v>
      </c>
      <c r="D29" s="21" t="n">
        <f aca="false">IF(A29="","",COUNTIFS(Seguimiento_OC!$D$5:$D$304,A29,Seguimiento_OC!$B$5:$B$304,"&gt;="&amp;DATE(Parametros!$B$4,1,1),Seguimiento_OC!$B$5:$B$304,"&lt;"&amp;DATE(Parametros!$B$4+1,1,1)))</f>
        <v>0</v>
      </c>
      <c r="E29" s="19" t="n">
        <f aca="false">IF(A29="","",SUMIFS(Comparativo!$S$5:$S$304,Comparativo!$C$5:$C$304,A29,Comparativo!$B$5:$B$304,"&gt;="&amp;DATE(Parametros!$B$4,1,1),Comparativo!$B$5:$B$304,"&lt;"&amp;DATE(Parametros!$B$4+1,1,1)))</f>
        <v>0</v>
      </c>
      <c r="F29" s="20" t="str">
        <f aca="false">IF(OR(A29="",N(B29)=0),"",E29/B29)</f>
        <v/>
      </c>
      <c r="G29" s="2"/>
      <c r="H29" s="23" t="str">
        <f aca="false">IF(Parametros!$A$13="","",Parametros!$A$13)</f>
        <v/>
      </c>
      <c r="I29" s="33" t="str">
        <f aca="false">IF(H29="","",SUMIFS(Seguimiento_OC!$G$5:$G$304,Seguimiento_OC!$E$5:$E$304,H29,Seguimiento_OC!$B$5:$B$304,"&gt;="&amp;DATE(Parametros!$B$4,1,1),Seguimiento_OC!$B$5:$B$304,"&lt;"&amp;DATE(Parametros!$B$4+1,1,1)))</f>
        <v/>
      </c>
      <c r="J29" s="34" t="str">
        <f aca="false">IF(H29="","",COUNTIFS(Seguimiento_OC!$E$5:$E$304,H29,Seguimiento_OC!$B$5:$B$304,"&gt;="&amp;DATE(Parametros!$B$4,1,1),Seguimiento_OC!$B$5:$B$304,"&lt;"&amp;DATE(Parametros!$B$4+1,1,1)))</f>
        <v/>
      </c>
      <c r="K29" s="34" t="str">
        <f aca="false">IF(H29="","",COUNTIFS(Seguimiento_OC!$E$5:$E$304,H29,Seguimiento_OC!$Y$5:$Y$304,"Vencida")+COUNTIFS(Seguimiento_OC!$E$5:$E$304,H29,Seguimiento_OC!$Y$5:$Y$304,"Parcial"))</f>
        <v/>
      </c>
      <c r="L29" s="2"/>
    </row>
    <row r="30" customFormat="false" ht="15" hidden="false" customHeight="false" outlineLevel="0" collapsed="false">
      <c r="A30" s="23" t="str">
        <f aca="false">IF(Parametros!$B$14="","",Parametros!$B$14)</f>
        <v/>
      </c>
      <c r="B30" s="19" t="str">
        <f aca="false">IF(A30="","",SUMIFS(Seguimiento_OC!$G$5:$G$304,Seguimiento_OC!$D$5:$D$304,A30,Seguimiento_OC!$B$5:$B$304,"&gt;="&amp;DATE(Parametros!$B$4,1,1),Seguimiento_OC!$B$5:$B$304,"&lt;"&amp;DATE(Parametros!$B$4+1,1,1)))</f>
        <v/>
      </c>
      <c r="C30" s="20" t="str">
        <f aca="false">IF(OR(A30="",$B$18=0),"",B30/$B$18)</f>
        <v/>
      </c>
      <c r="D30" s="21" t="str">
        <f aca="false">IF(A30="","",COUNTIFS(Seguimiento_OC!$D$5:$D$304,A30,Seguimiento_OC!$B$5:$B$304,"&gt;="&amp;DATE(Parametros!$B$4,1,1),Seguimiento_OC!$B$5:$B$304,"&lt;"&amp;DATE(Parametros!$B$4+1,1,1)))</f>
        <v/>
      </c>
      <c r="E30" s="19" t="str">
        <f aca="false">IF(A30="","",SUMIFS(Comparativo!$S$5:$S$304,Comparativo!$C$5:$C$304,A30,Comparativo!$B$5:$B$304,"&gt;="&amp;DATE(Parametros!$B$4,1,1),Comparativo!$B$5:$B$304,"&lt;"&amp;DATE(Parametros!$B$4+1,1,1)))</f>
        <v/>
      </c>
      <c r="F30" s="20" t="str">
        <f aca="false">IF(OR(A30="",N(B30)=0),"",E30/B30)</f>
        <v/>
      </c>
      <c r="G30" s="2"/>
      <c r="H30" s="23" t="str">
        <f aca="false">IF(Parametros!$A$14="","",Parametros!$A$14)</f>
        <v/>
      </c>
      <c r="I30" s="33" t="str">
        <f aca="false">IF(H30="","",SUMIFS(Seguimiento_OC!$G$5:$G$304,Seguimiento_OC!$E$5:$E$304,H30,Seguimiento_OC!$B$5:$B$304,"&gt;="&amp;DATE(Parametros!$B$4,1,1),Seguimiento_OC!$B$5:$B$304,"&lt;"&amp;DATE(Parametros!$B$4+1,1,1)))</f>
        <v/>
      </c>
      <c r="J30" s="34" t="str">
        <f aca="false">IF(H30="","",COUNTIFS(Seguimiento_OC!$E$5:$E$304,H30,Seguimiento_OC!$B$5:$B$304,"&gt;="&amp;DATE(Parametros!$B$4,1,1),Seguimiento_OC!$B$5:$B$304,"&lt;"&amp;DATE(Parametros!$B$4+1,1,1)))</f>
        <v/>
      </c>
      <c r="K30" s="34" t="str">
        <f aca="false">IF(H30="","",COUNTIFS(Seguimiento_OC!$E$5:$E$304,H30,Seguimiento_OC!$Y$5:$Y$304,"Vencida")+COUNTIFS(Seguimiento_OC!$E$5:$E$304,H30,Seguimiento_OC!$Y$5:$Y$304,"Parcial"))</f>
        <v/>
      </c>
      <c r="L30" s="2"/>
    </row>
    <row r="31" customFormat="false" ht="15" hidden="false" customHeight="false" outlineLevel="0" collapsed="false">
      <c r="A31" s="23" t="str">
        <f aca="false">IF(Parametros!$B$15="","",Parametros!$B$15)</f>
        <v/>
      </c>
      <c r="B31" s="19" t="str">
        <f aca="false">IF(A31="","",SUMIFS(Seguimiento_OC!$G$5:$G$304,Seguimiento_OC!$D$5:$D$304,A31,Seguimiento_OC!$B$5:$B$304,"&gt;="&amp;DATE(Parametros!$B$4,1,1),Seguimiento_OC!$B$5:$B$304,"&lt;"&amp;DATE(Parametros!$B$4+1,1,1)))</f>
        <v/>
      </c>
      <c r="C31" s="20" t="str">
        <f aca="false">IF(OR(A31="",$B$18=0),"",B31/$B$18)</f>
        <v/>
      </c>
      <c r="D31" s="21" t="str">
        <f aca="false">IF(A31="","",COUNTIFS(Seguimiento_OC!$D$5:$D$304,A31,Seguimiento_OC!$B$5:$B$304,"&gt;="&amp;DATE(Parametros!$B$4,1,1),Seguimiento_OC!$B$5:$B$304,"&lt;"&amp;DATE(Parametros!$B$4+1,1,1)))</f>
        <v/>
      </c>
      <c r="E31" s="19" t="str">
        <f aca="false">IF(A31="","",SUMIFS(Comparativo!$S$5:$S$304,Comparativo!$C$5:$C$304,A31,Comparativo!$B$5:$B$304,"&gt;="&amp;DATE(Parametros!$B$4,1,1),Comparativo!$B$5:$B$304,"&lt;"&amp;DATE(Parametros!$B$4+1,1,1)))</f>
        <v/>
      </c>
      <c r="F31" s="20" t="str">
        <f aca="false">IF(OR(A31="",N(B31)=0),"",E31/B31)</f>
        <v/>
      </c>
      <c r="G31" s="2"/>
      <c r="H31" s="23" t="str">
        <f aca="false">IF(Parametros!$A$15="","",Parametros!$A$15)</f>
        <v/>
      </c>
      <c r="I31" s="33" t="str">
        <f aca="false">IF(H31="","",SUMIFS(Seguimiento_OC!$G$5:$G$304,Seguimiento_OC!$E$5:$E$304,H31,Seguimiento_OC!$B$5:$B$304,"&gt;="&amp;DATE(Parametros!$B$4,1,1),Seguimiento_OC!$B$5:$B$304,"&lt;"&amp;DATE(Parametros!$B$4+1,1,1)))</f>
        <v/>
      </c>
      <c r="J31" s="34" t="str">
        <f aca="false">IF(H31="","",COUNTIFS(Seguimiento_OC!$E$5:$E$304,H31,Seguimiento_OC!$B$5:$B$304,"&gt;="&amp;DATE(Parametros!$B$4,1,1),Seguimiento_OC!$B$5:$B$304,"&lt;"&amp;DATE(Parametros!$B$4+1,1,1)))</f>
        <v/>
      </c>
      <c r="K31" s="34" t="str">
        <f aca="false">IF(H31="","",COUNTIFS(Seguimiento_OC!$E$5:$E$304,H31,Seguimiento_OC!$Y$5:$Y$304,"Vencida")+COUNTIFS(Seguimiento_OC!$E$5:$E$304,H31,Seguimiento_OC!$Y$5:$Y$304,"Parcial"))</f>
        <v/>
      </c>
      <c r="L31" s="2"/>
    </row>
    <row r="32" customFormat="false" ht="15" hidden="false" customHeight="false" outlineLevel="0" collapsed="false">
      <c r="A32" s="23" t="str">
        <f aca="false">IF(Parametros!$B$16="","",Parametros!$B$16)</f>
        <v/>
      </c>
      <c r="B32" s="19" t="str">
        <f aca="false">IF(A32="","",SUMIFS(Seguimiento_OC!$G$5:$G$304,Seguimiento_OC!$D$5:$D$304,A32,Seguimiento_OC!$B$5:$B$304,"&gt;="&amp;DATE(Parametros!$B$4,1,1),Seguimiento_OC!$B$5:$B$304,"&lt;"&amp;DATE(Parametros!$B$4+1,1,1)))</f>
        <v/>
      </c>
      <c r="C32" s="20" t="str">
        <f aca="false">IF(OR(A32="",$B$18=0),"",B32/$B$18)</f>
        <v/>
      </c>
      <c r="D32" s="21" t="str">
        <f aca="false">IF(A32="","",COUNTIFS(Seguimiento_OC!$D$5:$D$304,A32,Seguimiento_OC!$B$5:$B$304,"&gt;="&amp;DATE(Parametros!$B$4,1,1),Seguimiento_OC!$B$5:$B$304,"&lt;"&amp;DATE(Parametros!$B$4+1,1,1)))</f>
        <v/>
      </c>
      <c r="E32" s="19" t="str">
        <f aca="false">IF(A32="","",SUMIFS(Comparativo!$S$5:$S$304,Comparativo!$C$5:$C$304,A32,Comparativo!$B$5:$B$304,"&gt;="&amp;DATE(Parametros!$B$4,1,1),Comparativo!$B$5:$B$304,"&lt;"&amp;DATE(Parametros!$B$4+1,1,1)))</f>
        <v/>
      </c>
      <c r="F32" s="20" t="str">
        <f aca="false">IF(OR(A32="",N(B32)=0),"",E32/B32)</f>
        <v/>
      </c>
      <c r="G32" s="2"/>
      <c r="H32" s="23" t="str">
        <f aca="false">IF(Parametros!$A$16="","",Parametros!$A$16)</f>
        <v/>
      </c>
      <c r="I32" s="33" t="str">
        <f aca="false">IF(H32="","",SUMIFS(Seguimiento_OC!$G$5:$G$304,Seguimiento_OC!$E$5:$E$304,H32,Seguimiento_OC!$B$5:$B$304,"&gt;="&amp;DATE(Parametros!$B$4,1,1),Seguimiento_OC!$B$5:$B$304,"&lt;"&amp;DATE(Parametros!$B$4+1,1,1)))</f>
        <v/>
      </c>
      <c r="J32" s="34" t="str">
        <f aca="false">IF(H32="","",COUNTIFS(Seguimiento_OC!$E$5:$E$304,H32,Seguimiento_OC!$B$5:$B$304,"&gt;="&amp;DATE(Parametros!$B$4,1,1),Seguimiento_OC!$B$5:$B$304,"&lt;"&amp;DATE(Parametros!$B$4+1,1,1)))</f>
        <v/>
      </c>
      <c r="K32" s="34" t="str">
        <f aca="false">IF(H32="","",COUNTIFS(Seguimiento_OC!$E$5:$E$304,H32,Seguimiento_OC!$Y$5:$Y$304,"Vencida")+COUNTIFS(Seguimiento_OC!$E$5:$E$304,H32,Seguimiento_OC!$Y$5:$Y$304,"Parcial"))</f>
        <v/>
      </c>
      <c r="L3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8"/>
    <col collapsed="false" customWidth="true" hidden="false" outlineLevel="0" max="3" min="3" style="0" width="52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1"/>
  </cols>
  <sheetData>
    <row r="1" customFormat="false" ht="17.35" hidden="false" customHeight="false" outlineLevel="0" collapsed="false">
      <c r="A1" s="1" t="s">
        <v>192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193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12" t="s">
        <v>194</v>
      </c>
      <c r="B4" s="12" t="s">
        <v>195</v>
      </c>
      <c r="C4" s="12" t="s">
        <v>196</v>
      </c>
      <c r="D4" s="12" t="s">
        <v>197</v>
      </c>
      <c r="E4" s="12" t="s">
        <v>198</v>
      </c>
      <c r="F4" s="12" t="s">
        <v>199</v>
      </c>
      <c r="G4" s="12" t="s">
        <v>200</v>
      </c>
    </row>
    <row r="5" customFormat="false" ht="15" hidden="false" customHeight="false" outlineLevel="0" collapsed="false">
      <c r="A5" s="14" t="s">
        <v>201</v>
      </c>
      <c r="B5" s="35" t="s">
        <v>202</v>
      </c>
      <c r="C5" s="36" t="s">
        <v>203</v>
      </c>
      <c r="D5" s="20" t="n">
        <f aca="false">IFERROR(COUNTIF(Seguimiento_OC!$T$5:$T$304,"S")/(COUNTIF(Seguimiento_OC!$T$5:$T$304,"S")+COUNTIF(Seguimiento_OC!$T$5:$T$304,"N")),0)</f>
        <v>0.5</v>
      </c>
      <c r="E5" s="37" t="n">
        <v>0.95</v>
      </c>
      <c r="F5" s="14" t="s">
        <v>204</v>
      </c>
      <c r="G5" s="14" t="str">
        <f aca="false">IF(F5="&gt;=",IF(D5&gt;=E5,"Cumple",IF(D5&gt;=E5*0.9,"Alerta","No cumple")),IF(D5&lt;=E5,"Cumple",IF(D5&lt;=E5*1.1+0.5*(E5=0),"Alerta","No cumple")))</f>
        <v>No cumple</v>
      </c>
    </row>
    <row r="6" customFormat="false" ht="15" hidden="false" customHeight="false" outlineLevel="0" collapsed="false">
      <c r="A6" s="14" t="s">
        <v>201</v>
      </c>
      <c r="B6" s="35" t="s">
        <v>205</v>
      </c>
      <c r="C6" s="36" t="s">
        <v>206</v>
      </c>
      <c r="D6" s="20" t="n">
        <f aca="false">IFERROR(COUNTIF(Seguimiento_OC!$Y$5:$Y$304,"Completa")/COUNTA(Seguimiento_OC!$A$5:$A$304),0)</f>
        <v>0.333333333333333</v>
      </c>
      <c r="E6" s="37" t="n">
        <v>0.9</v>
      </c>
      <c r="F6" s="14" t="s">
        <v>204</v>
      </c>
      <c r="G6" s="14" t="str">
        <f aca="false">IF(F6="&gt;=",IF(D6&gt;=E6,"Cumple",IF(D6&gt;=E6*0.9,"Alerta","No cumple")),IF(D6&lt;=E6,"Cumple",IF(D6&lt;=E6*1.1+0.5*(E6=0),"Alerta","No cumple")))</f>
        <v>No cumple</v>
      </c>
    </row>
    <row r="7" customFormat="false" ht="15" hidden="false" customHeight="false" outlineLevel="0" collapsed="false">
      <c r="A7" s="14" t="s">
        <v>201</v>
      </c>
      <c r="B7" s="35" t="s">
        <v>207</v>
      </c>
      <c r="C7" s="36" t="s">
        <v>208</v>
      </c>
      <c r="D7" s="20" t="n">
        <f aca="false">IFERROR(COUNTIF(Seguimiento_OC!$L$5:$L$304,"S")/(COUNTIF(Seguimiento_OC!$L$5:$L$304,"S")+COUNTIF(Seguimiento_OC!$L$5:$L$304,"N")),0)</f>
        <v>1</v>
      </c>
      <c r="E7" s="37" t="n">
        <v>0.98</v>
      </c>
      <c r="F7" s="14" t="s">
        <v>204</v>
      </c>
      <c r="G7" s="14" t="str">
        <f aca="false">IF(F7="&gt;=",IF(D7&gt;=E7,"Cumple",IF(D7&gt;=E7*0.9,"Alerta","No cumple")),IF(D7&lt;=E7,"Cumple",IF(D7&lt;=E7*1.1+0.5*(E7=0),"Alerta","No cumple")))</f>
        <v>Cumple</v>
      </c>
    </row>
    <row r="8" customFormat="false" ht="23.85" hidden="false" customHeight="false" outlineLevel="0" collapsed="false">
      <c r="A8" s="14" t="s">
        <v>201</v>
      </c>
      <c r="B8" s="35" t="s">
        <v>209</v>
      </c>
      <c r="C8" s="36" t="s">
        <v>210</v>
      </c>
      <c r="D8" s="20" t="n">
        <f aca="false">IFERROR(COUNTIFS(Seguimiento_OC!$U$5:$U$304,"S",Seguimiento_OC!$K$5:$K$304,"&gt;0")/COUNTIF(Seguimiento_OC!$K$5:$K$304,"&gt;0"),0)</f>
        <v>0.5</v>
      </c>
      <c r="E8" s="37" t="n">
        <v>1</v>
      </c>
      <c r="F8" s="14" t="s">
        <v>204</v>
      </c>
      <c r="G8" s="14" t="str">
        <f aca="false">IF(F8="&gt;=",IF(D8&gt;=E8,"Cumple",IF(D8&gt;=E8*0.9,"Alerta","No cumple")),IF(D8&lt;=E8,"Cumple",IF(D8&lt;=E8*1.1+0.5*(E8=0),"Alerta","No cumple")))</f>
        <v>No cumple</v>
      </c>
    </row>
    <row r="9" customFormat="false" ht="15" hidden="false" customHeight="false" outlineLevel="0" collapsed="false">
      <c r="A9" s="14" t="s">
        <v>201</v>
      </c>
      <c r="B9" s="35" t="s">
        <v>211</v>
      </c>
      <c r="C9" s="36" t="s">
        <v>212</v>
      </c>
      <c r="D9" s="20" t="n">
        <f aca="false">IFERROR(COUNTIF(Seguimiento_OC!$AB$5:$AB$304,"OK")/(COUNTIF(Seguimiento_OC!$AB$5:$AB$304,"OK")+COUNTIF(Seguimiento_OC!$AB$5:$AB$304,"Revisar")),0)</f>
        <v>1</v>
      </c>
      <c r="E9" s="37" t="n">
        <v>1</v>
      </c>
      <c r="F9" s="14" t="s">
        <v>204</v>
      </c>
      <c r="G9" s="14" t="str">
        <f aca="false">IF(F9="&gt;=",IF(D9&gt;=E9,"Cumple",IF(D9&gt;=E9*0.9,"Alerta","No cumple")),IF(D9&lt;=E9,"Cumple",IF(D9&lt;=E9*1.1+0.5*(E9=0),"Alerta","No cumple")))</f>
        <v>Cumple</v>
      </c>
    </row>
    <row r="10" customFormat="false" ht="15" hidden="false" customHeight="false" outlineLevel="0" collapsed="false">
      <c r="A10" s="14" t="s">
        <v>201</v>
      </c>
      <c r="B10" s="35" t="s">
        <v>213</v>
      </c>
      <c r="C10" s="36" t="s">
        <v>214</v>
      </c>
      <c r="D10" s="20" t="n">
        <f aca="false">IFERROR(COUNTIF(Seguimiento_OC!$AC$5:$AC$304,"S")/COUNTA(Seguimiento_OC!$A$5:$A$304),0)</f>
        <v>0.333333333333333</v>
      </c>
      <c r="E10" s="37" t="n">
        <v>1</v>
      </c>
      <c r="F10" s="14" t="s">
        <v>204</v>
      </c>
      <c r="G10" s="14" t="str">
        <f aca="false">IF(F10="&gt;=",IF(D10&gt;=E10,"Cumple",IF(D10&gt;=E10*0.9,"Alerta","No cumple")),IF(D10&lt;=E10,"Cumple",IF(D10&lt;=E10*1.1+0.5*(E10=0),"Alerta","No cumple")))</f>
        <v>No cumple</v>
      </c>
    </row>
    <row r="11" customFormat="false" ht="15" hidden="false" customHeight="false" outlineLevel="0" collapsed="false">
      <c r="A11" s="14" t="s">
        <v>201</v>
      </c>
      <c r="B11" s="35" t="s">
        <v>215</v>
      </c>
      <c r="C11" s="36" t="s">
        <v>216</v>
      </c>
      <c r="D11" s="20" t="n">
        <f aca="false">IFERROR(SUM(Comparativo!$S$5:$S$304)/SUMPRODUCT(N(+Comparativo!$P$5:$P$304),N(+Comparativo!$F$5:$F$304)),0)</f>
        <v>0.091991341991342</v>
      </c>
      <c r="E11" s="37" t="n">
        <v>0.05</v>
      </c>
      <c r="F11" s="14" t="s">
        <v>204</v>
      </c>
      <c r="G11" s="14" t="str">
        <f aca="false">IF(F11="&gt;=",IF(D11&gt;=E11,"Cumple",IF(D11&gt;=E11*0.9,"Alerta","No cumple")),IF(D11&lt;=E11,"Cumple",IF(D11&lt;=E11*1.1+0.5*(E11=0),"Alerta","No cumple")))</f>
        <v>Cumple</v>
      </c>
    </row>
    <row r="12" customFormat="false" ht="15" hidden="false" customHeight="false" outlineLevel="0" collapsed="false">
      <c r="A12" s="14" t="s">
        <v>201</v>
      </c>
      <c r="B12" s="35" t="s">
        <v>217</v>
      </c>
      <c r="C12" s="36" t="s">
        <v>218</v>
      </c>
      <c r="D12" s="38" t="n">
        <f aca="false">IFERROR(AVERAGE(Seguimiento_OC!$S$5:$S$304),0)</f>
        <v>0.666666666666667</v>
      </c>
      <c r="E12" s="39" t="n">
        <v>2</v>
      </c>
      <c r="F12" s="14" t="s">
        <v>219</v>
      </c>
      <c r="G12" s="14" t="str">
        <f aca="false">IF(F12="&gt;=",IF(D12&gt;=E12,"Cumple",IF(D12&gt;=E12*0.9,"Alerta","No cumple")),IF(D12&lt;=E12,"Cumple",IF(D12&lt;=E12*1.1+0.5*(E12=0),"Alerta","No cumple")))</f>
        <v>Cumple</v>
      </c>
    </row>
    <row r="13" customFormat="false" ht="15" hidden="false" customHeight="false" outlineLevel="0" collapsed="false">
      <c r="A13" s="14" t="s">
        <v>201</v>
      </c>
      <c r="B13" s="35" t="s">
        <v>220</v>
      </c>
      <c r="C13" s="36" t="s">
        <v>221</v>
      </c>
      <c r="D13" s="21" t="n">
        <f aca="false">COUNTA(Seguimiento_OC!$A$5:$A$304)-COUNTIF(Seguimiento_OC!$AD$5:$AD$304,"OK")</f>
        <v>2</v>
      </c>
      <c r="E13" s="40" t="n">
        <v>0</v>
      </c>
      <c r="F13" s="14" t="s">
        <v>219</v>
      </c>
      <c r="G13" s="14" t="str">
        <f aca="false">IF(F13="&gt;=",IF(D13&gt;=E13,"Cumple",IF(D13&gt;=E13*0.9,"Alerta","No cumple")),IF(D13&lt;=E13,"Cumple",IF(D13&lt;=E13*1.1+0.5*(E13=0),"Alerta","No cumple")))</f>
        <v>No cumple</v>
      </c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</row>
    <row r="15" customFormat="false" ht="15" hidden="false" customHeight="false" outlineLevel="0" collapsed="false">
      <c r="A15" s="32" t="s">
        <v>222</v>
      </c>
      <c r="B15" s="2"/>
      <c r="C15" s="2"/>
      <c r="D15" s="2"/>
      <c r="E15" s="2"/>
      <c r="F15" s="2"/>
      <c r="G15" s="2"/>
    </row>
    <row r="16" customFormat="false" ht="15" hidden="false" customHeight="false" outlineLevel="0" collapsed="false">
      <c r="A16" s="12" t="s">
        <v>194</v>
      </c>
      <c r="B16" s="12" t="s">
        <v>195</v>
      </c>
      <c r="C16" s="12" t="s">
        <v>223</v>
      </c>
      <c r="D16" s="12" t="s">
        <v>224</v>
      </c>
      <c r="E16" s="12" t="s">
        <v>225</v>
      </c>
      <c r="F16" s="12" t="s">
        <v>224</v>
      </c>
      <c r="G16" s="2"/>
    </row>
    <row r="17" customFormat="false" ht="15" hidden="false" customHeight="false" outlineLevel="0" collapsed="false">
      <c r="A17" s="34" t="s">
        <v>226</v>
      </c>
      <c r="B17" s="34" t="s">
        <v>227</v>
      </c>
      <c r="C17" s="34" t="s">
        <v>228</v>
      </c>
      <c r="D17" s="41" t="n">
        <v>200</v>
      </c>
      <c r="E17" s="34" t="s">
        <v>229</v>
      </c>
      <c r="F17" s="41" t="n">
        <v>196</v>
      </c>
      <c r="G17" s="2"/>
    </row>
    <row r="18" customFormat="false" ht="15" hidden="false" customHeight="false" outlineLevel="0" collapsed="false">
      <c r="A18" s="34" t="s">
        <v>226</v>
      </c>
      <c r="B18" s="34" t="s">
        <v>230</v>
      </c>
      <c r="C18" s="34" t="s">
        <v>231</v>
      </c>
      <c r="D18" s="41" t="n">
        <v>350</v>
      </c>
      <c r="E18" s="34" t="s">
        <v>232</v>
      </c>
      <c r="F18" s="41" t="n">
        <v>4</v>
      </c>
      <c r="G18" s="2"/>
    </row>
    <row r="19" customFormat="false" ht="15" hidden="false" customHeight="false" outlineLevel="0" collapsed="false">
      <c r="A19" s="34" t="s">
        <v>226</v>
      </c>
      <c r="B19" s="34" t="s">
        <v>233</v>
      </c>
      <c r="C19" s="34" t="s">
        <v>234</v>
      </c>
      <c r="D19" s="41" t="n">
        <v>180000</v>
      </c>
      <c r="E19" s="34" t="s">
        <v>235</v>
      </c>
      <c r="F19" s="41" t="n">
        <v>120000</v>
      </c>
      <c r="G19" s="2"/>
    </row>
    <row r="20" customFormat="false" ht="15" hidden="false" customHeight="false" outlineLevel="0" collapsed="false">
      <c r="A20" s="34" t="s">
        <v>226</v>
      </c>
      <c r="B20" s="34" t="s">
        <v>236</v>
      </c>
      <c r="C20" s="34" t="s">
        <v>237</v>
      </c>
      <c r="D20" s="41" t="n">
        <v>60</v>
      </c>
      <c r="E20" s="34" t="s">
        <v>238</v>
      </c>
      <c r="F20" s="41" t="n">
        <v>57</v>
      </c>
      <c r="G20" s="2"/>
    </row>
    <row r="21" customFormat="false" ht="15" hidden="false" customHeight="false" outlineLevel="0" collapsed="false">
      <c r="A21" s="34" t="s">
        <v>239</v>
      </c>
      <c r="B21" s="34" t="s">
        <v>240</v>
      </c>
      <c r="C21" s="34" t="s">
        <v>241</v>
      </c>
      <c r="D21" s="41" t="n">
        <v>9500</v>
      </c>
      <c r="E21" s="34" t="s">
        <v>242</v>
      </c>
      <c r="F21" s="41" t="n">
        <v>28500</v>
      </c>
      <c r="G21" s="2"/>
    </row>
    <row r="22" customFormat="false" ht="15" hidden="false" customHeight="false" outlineLevel="0" collapsed="false">
      <c r="A22" s="34" t="s">
        <v>239</v>
      </c>
      <c r="B22" s="34" t="s">
        <v>243</v>
      </c>
      <c r="C22" s="34" t="s">
        <v>244</v>
      </c>
      <c r="D22" s="41" t="n">
        <v>3000</v>
      </c>
      <c r="E22" s="34" t="s">
        <v>241</v>
      </c>
      <c r="F22" s="41" t="n">
        <v>9500</v>
      </c>
      <c r="G22" s="2"/>
    </row>
    <row r="23" customFormat="false" ht="15" hidden="false" customHeight="false" outlineLevel="0" collapsed="false">
      <c r="A23" s="34" t="s">
        <v>239</v>
      </c>
      <c r="B23" s="34" t="s">
        <v>245</v>
      </c>
      <c r="C23" s="34" t="s">
        <v>241</v>
      </c>
      <c r="D23" s="41" t="n">
        <v>9500</v>
      </c>
      <c r="E23" s="34" t="s">
        <v>246</v>
      </c>
      <c r="F23" s="41" t="n">
        <v>190</v>
      </c>
      <c r="G23" s="2"/>
    </row>
    <row r="24" customFormat="false" ht="15" hidden="false" customHeight="false" outlineLevel="0" collapsed="false">
      <c r="A24" s="34" t="s">
        <v>239</v>
      </c>
      <c r="B24" s="34" t="s">
        <v>247</v>
      </c>
      <c r="C24" s="34" t="s">
        <v>248</v>
      </c>
      <c r="D24" s="41" t="n">
        <v>120</v>
      </c>
      <c r="E24" s="34" t="s">
        <v>249</v>
      </c>
      <c r="F24" s="41" t="n">
        <v>117</v>
      </c>
      <c r="G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</row>
    <row r="26" customFormat="false" ht="15" hidden="false" customHeight="false" outlineLevel="0" collapsed="false">
      <c r="A26" s="32" t="s">
        <v>250</v>
      </c>
      <c r="B26" s="2"/>
      <c r="C26" s="2"/>
      <c r="D26" s="2"/>
      <c r="E26" s="2"/>
      <c r="F26" s="2"/>
      <c r="G26" s="2"/>
    </row>
    <row r="27" customFormat="false" ht="15" hidden="false" customHeight="false" outlineLevel="0" collapsed="false">
      <c r="A27" s="12" t="s">
        <v>194</v>
      </c>
      <c r="B27" s="12" t="s">
        <v>195</v>
      </c>
      <c r="C27" s="12" t="s">
        <v>196</v>
      </c>
      <c r="D27" s="12" t="s">
        <v>197</v>
      </c>
      <c r="E27" s="12" t="s">
        <v>198</v>
      </c>
      <c r="F27" s="12" t="s">
        <v>199</v>
      </c>
      <c r="G27" s="12" t="s">
        <v>200</v>
      </c>
    </row>
    <row r="28" customFormat="false" ht="15" hidden="false" customHeight="false" outlineLevel="0" collapsed="false">
      <c r="A28" s="14" t="s">
        <v>226</v>
      </c>
      <c r="B28" s="35" t="s">
        <v>227</v>
      </c>
      <c r="C28" s="36" t="s">
        <v>251</v>
      </c>
      <c r="D28" s="20" t="n">
        <f aca="false">IFERROR(F17/D17,0)</f>
        <v>0.98</v>
      </c>
      <c r="E28" s="37" t="n">
        <v>0.98</v>
      </c>
      <c r="F28" s="14" t="s">
        <v>204</v>
      </c>
      <c r="G28" s="14" t="str">
        <f aca="false">IF(F28="&gt;=",IF(D28&gt;=E28,"Cumple",IF(D28&gt;=E28*0.9,"Alerta","No cumple")),IF(D28&lt;=E28,"Cumple",IF(D28&lt;=E28*1.1+0.5*(E28=0),"Alerta","No cumple")))</f>
        <v>Cumple</v>
      </c>
    </row>
    <row r="29" customFormat="false" ht="15" hidden="false" customHeight="false" outlineLevel="0" collapsed="false">
      <c r="A29" s="14" t="s">
        <v>226</v>
      </c>
      <c r="B29" s="35" t="s">
        <v>230</v>
      </c>
      <c r="C29" s="36" t="s">
        <v>252</v>
      </c>
      <c r="D29" s="20" t="n">
        <f aca="false">IFERROR(F18/D18,0)</f>
        <v>0.0114285714285714</v>
      </c>
      <c r="E29" s="37" t="n">
        <v>0.02</v>
      </c>
      <c r="F29" s="14" t="s">
        <v>219</v>
      </c>
      <c r="G29" s="14" t="str">
        <f aca="false">IF(F29="&gt;=",IF(D29&gt;=E29,"Cumple",IF(D29&gt;=E29*0.9,"Alerta","No cumple")),IF(D29&lt;=E29,"Cumple",IF(D29&lt;=E29*1.1+0.5*(E29=0),"Alerta","No cumple")))</f>
        <v>Cumple</v>
      </c>
    </row>
    <row r="30" customFormat="false" ht="15" hidden="false" customHeight="false" outlineLevel="0" collapsed="false">
      <c r="A30" s="14" t="s">
        <v>226</v>
      </c>
      <c r="B30" s="35" t="s">
        <v>233</v>
      </c>
      <c r="C30" s="36" t="s">
        <v>253</v>
      </c>
      <c r="D30" s="42" t="n">
        <f aca="false">IFERROR(F19/D19,0)</f>
        <v>0.666666666666667</v>
      </c>
      <c r="E30" s="43" t="n">
        <v>0.5</v>
      </c>
      <c r="F30" s="14" t="s">
        <v>204</v>
      </c>
      <c r="G30" s="14" t="str">
        <f aca="false">IF(F30="&gt;=",IF(D30&gt;=E30,"Cumple",IF(D30&gt;=E30*0.9,"Alerta","No cumple")),IF(D30&lt;=E30,"Cumple",IF(D30&lt;=E30*1.1+0.5*(E30=0),"Alerta","No cumple")))</f>
        <v>Cumple</v>
      </c>
    </row>
    <row r="31" customFormat="false" ht="15" hidden="false" customHeight="false" outlineLevel="0" collapsed="false">
      <c r="A31" s="14" t="s">
        <v>226</v>
      </c>
      <c r="B31" s="35" t="s">
        <v>236</v>
      </c>
      <c r="C31" s="36" t="s">
        <v>254</v>
      </c>
      <c r="D31" s="20" t="n">
        <f aca="false">IFERROR(F20/D20,0)</f>
        <v>0.95</v>
      </c>
      <c r="E31" s="37" t="n">
        <v>0.95</v>
      </c>
      <c r="F31" s="14" t="s">
        <v>204</v>
      </c>
      <c r="G31" s="14" t="str">
        <f aca="false">IF(F31="&gt;=",IF(D31&gt;=E31,"Cumple",IF(D31&gt;=E31*0.9,"Alerta","No cumple")),IF(D31&lt;=E31,"Cumple",IF(D31&lt;=E31*1.1+0.5*(E31=0),"Alerta","No cumple")))</f>
        <v>Cumple</v>
      </c>
    </row>
    <row r="32" customFormat="false" ht="15" hidden="false" customHeight="false" outlineLevel="0" collapsed="false">
      <c r="A32" s="14" t="s">
        <v>239</v>
      </c>
      <c r="B32" s="35" t="s">
        <v>240</v>
      </c>
      <c r="C32" s="36" t="s">
        <v>255</v>
      </c>
      <c r="D32" s="42" t="n">
        <f aca="false">IFERROR(F21/D21,0)</f>
        <v>3</v>
      </c>
      <c r="E32" s="43" t="n">
        <v>3.2</v>
      </c>
      <c r="F32" s="14" t="s">
        <v>219</v>
      </c>
      <c r="G32" s="14" t="str">
        <f aca="false">IF(F32="&gt;=",IF(D32&gt;=E32,"Cumple",IF(D32&gt;=E32*0.9,"Alerta","No cumple")),IF(D32&lt;=E32,"Cumple",IF(D32&lt;=E32*1.1+0.5*(E32=0),"Alerta","No cumple")))</f>
        <v>Cumple</v>
      </c>
    </row>
    <row r="33" customFormat="false" ht="15" hidden="false" customHeight="false" outlineLevel="0" collapsed="false">
      <c r="A33" s="14" t="s">
        <v>239</v>
      </c>
      <c r="B33" s="35" t="s">
        <v>243</v>
      </c>
      <c r="C33" s="36" t="s">
        <v>256</v>
      </c>
      <c r="D33" s="42" t="n">
        <f aca="false">IFERROR(F22/D22,0)</f>
        <v>3.16666666666667</v>
      </c>
      <c r="E33" s="43" t="n">
        <v>3.5</v>
      </c>
      <c r="F33" s="14" t="s">
        <v>219</v>
      </c>
      <c r="G33" s="14" t="str">
        <f aca="false">IF(F33="&gt;=",IF(D33&gt;=E33,"Cumple",IF(D33&gt;=E33*0.9,"Alerta","No cumple")),IF(D33&lt;=E33,"Cumple",IF(D33&lt;=E33*1.1+0.5*(E33=0),"Alerta","No cumple")))</f>
        <v>Cumple</v>
      </c>
    </row>
    <row r="34" customFormat="false" ht="15" hidden="false" customHeight="false" outlineLevel="0" collapsed="false">
      <c r="A34" s="14" t="s">
        <v>239</v>
      </c>
      <c r="B34" s="35" t="s">
        <v>245</v>
      </c>
      <c r="C34" s="36" t="s">
        <v>257</v>
      </c>
      <c r="D34" s="20" t="n">
        <f aca="false">IFERROR(F23/D23,0)</f>
        <v>0.02</v>
      </c>
      <c r="E34" s="37" t="n">
        <v>0.03</v>
      </c>
      <c r="F34" s="14" t="s">
        <v>219</v>
      </c>
      <c r="G34" s="14" t="str">
        <f aca="false">IF(F34="&gt;=",IF(D34&gt;=E34,"Cumple",IF(D34&gt;=E34*0.9,"Alerta","No cumple")),IF(D34&lt;=E34,"Cumple",IF(D34&lt;=E34*1.1+0.5*(E34=0),"Alerta","No cumple")))</f>
        <v>Cumple</v>
      </c>
    </row>
    <row r="35" customFormat="false" ht="15" hidden="false" customHeight="false" outlineLevel="0" collapsed="false">
      <c r="A35" s="14" t="s">
        <v>239</v>
      </c>
      <c r="B35" s="35" t="s">
        <v>247</v>
      </c>
      <c r="C35" s="36" t="s">
        <v>258</v>
      </c>
      <c r="D35" s="20" t="n">
        <f aca="false">IFERROR(F24/D24,0)</f>
        <v>0.975</v>
      </c>
      <c r="E35" s="37" t="n">
        <v>0.97</v>
      </c>
      <c r="F35" s="14" t="s">
        <v>204</v>
      </c>
      <c r="G35" s="14" t="str">
        <f aca="false">IF(F35="&gt;=",IF(D35&gt;=E35,"Cumple",IF(D35&gt;=E35*0.9,"Alerta","No cumple")),IF(D35&lt;=E35,"Cumple",IF(D35&lt;=E35*1.1+0.5*(E35=0),"Alerta","No cumple")))</f>
        <v>Cumple</v>
      </c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</row>
    <row r="37" customFormat="false" ht="15" hidden="false" customHeight="false" outlineLevel="0" collapsed="false">
      <c r="A37" s="11" t="s">
        <v>259</v>
      </c>
      <c r="B37" s="2"/>
      <c r="C37" s="2"/>
      <c r="D37" s="2"/>
      <c r="E37" s="2"/>
      <c r="F37" s="2"/>
      <c r="G37" s="2"/>
    </row>
  </sheetData>
  <conditionalFormatting sqref="G5:G35">
    <cfRule type="cellIs" priority="2" operator="equal" aboveAverage="0" equalAverage="0" bottom="0" percent="0" rank="0" text="" dxfId="9">
      <formula>"Cumple"</formula>
    </cfRule>
    <cfRule type="cellIs" priority="3" operator="equal" aboveAverage="0" equalAverage="0" bottom="0" percent="0" rank="0" text="" dxfId="8">
      <formula>"Alerta"</formula>
    </cfRule>
    <cfRule type="cellIs" priority="4" operator="equal" aboveAverage="0" equalAverage="0" bottom="0" percent="0" rank="0" text="" dxfId="7">
      <formula>"No cumple"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2026-10-07T11:35:03Z</dcterms:created>
  <dc:creator>openpyxl</dc:creator>
  <dc:description/>
  <dc:language>en-US</dc:language>
  <cp:lastModifiedBy/>
  <dcterms:modified xsi:type="dcterms:W3CDTF">2026-10-07T11:35:04Z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