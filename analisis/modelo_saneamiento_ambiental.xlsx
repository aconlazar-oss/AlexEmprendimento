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uestos" sheetId="1" state="visible" r:id="rId1"/>
    <sheet name="Inversión inicial" sheetId="2" state="visible" r:id="rId2"/>
    <sheet name="Proyección 12 me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S/ &quot;#,##0;[Red]-&quot;S/ &quot;#,##0"/>
    <numFmt numFmtId="165" formatCode="&quot;S/ &quot;#,##0.00;[Red]-&quot;S/ &quot;#,##0.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color rgb="000000FF"/>
    </font>
    <font>
      <b val="1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164" fontId="3" fillId="3" borderId="1" pivotButton="0" quotePrefix="0" xfId="0"/>
    <xf numFmtId="9" fontId="3" fillId="3" borderId="1" pivotButton="0" quotePrefix="0" xfId="0"/>
    <xf numFmtId="165" fontId="0" fillId="0" borderId="0" pivotButton="0" quotePrefix="0" xfId="0"/>
    <xf numFmtId="0" fontId="4" fillId="4" borderId="0" pivotButton="0" quotePrefix="0" xfId="0"/>
    <xf numFmtId="165" fontId="4" fillId="4" borderId="0" pivotButton="0" quotePrefix="0" xfId="0"/>
    <xf numFmtId="9" fontId="4" fillId="4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3" fillId="3" borderId="1" pivotButton="0" quotePrefix="0" xfId="0"/>
    <xf numFmtId="164" fontId="0" fillId="0" borderId="0" pivotButton="0" quotePrefix="0" xfId="0"/>
    <xf numFmtId="164" fontId="5" fillId="0" borderId="0" pivotButton="0" quotePrefix="0" xfId="0"/>
    <xf numFmtId="164" fontId="4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2" customWidth="1" min="3" max="3"/>
    <col width="14" customWidth="1" min="4" max="4"/>
    <col width="12" customWidth="1" min="5" max="5"/>
    <col width="12" customWidth="1" min="6" max="6"/>
    <col width="13" customWidth="1" min="7" max="7"/>
    <col width="13" customWidth="1" min="8" max="8"/>
    <col width="14" customWidth="1" min="9" max="9"/>
    <col width="48" customWidth="1" min="10" max="10"/>
  </cols>
  <sheetData>
    <row r="1">
      <c r="A1" s="1" t="inlineStr">
        <is>
          <t>Saneamiento ambiental en Lima: supuestos</t>
        </is>
      </c>
    </row>
    <row r="2">
      <c r="A2" t="inlineStr">
        <is>
          <t>Edita solo las celdas amarillas (texto azul). Todo lo demás se recalcula solo. Precios = lo que paga el cliente (con IGV).</t>
        </is>
      </c>
    </row>
    <row r="4" ht="45" customHeight="1">
      <c r="A4" s="2" t="inlineStr">
        <is>
          <t>Servicio</t>
        </is>
      </c>
      <c r="B4" s="2" t="inlineStr">
        <is>
          <t>Precio cobrado (con IGV)</t>
        </is>
      </c>
      <c r="C4" s="2" t="inlineStr">
        <is>
          <t>Insumos</t>
        </is>
      </c>
      <c r="D4" s="2" t="inlineStr">
        <is>
          <t>Mano de obra (técnico)</t>
        </is>
      </c>
      <c r="E4" s="2" t="inlineStr">
        <is>
          <t>Movilidad</t>
        </is>
      </c>
      <c r="F4" s="2" t="inlineStr">
        <is>
          <t>% de los servicios</t>
        </is>
      </c>
      <c r="G4" s="2" t="inlineStr">
        <is>
          <t>Precio sin IGV</t>
        </is>
      </c>
      <c r="H4" s="2" t="inlineStr">
        <is>
          <t>Costo variable</t>
        </is>
      </c>
      <c r="I4" s="2" t="inlineStr">
        <is>
          <t>Contribución por servicio</t>
        </is>
      </c>
      <c r="J4" s="2" t="inlineStr">
        <is>
          <t>Nota</t>
        </is>
      </c>
    </row>
    <row r="5">
      <c r="A5" s="3" t="inlineStr">
        <is>
          <t>Fumigación + desinfección local pequeño (≤100 m²: bodega, tienda, oficina)</t>
        </is>
      </c>
      <c r="B5" s="4" t="n">
        <v>150</v>
      </c>
      <c r="C5" s="4" t="n">
        <v>20</v>
      </c>
      <c r="D5" s="4" t="n">
        <v>40</v>
      </c>
      <c r="E5" s="4" t="n">
        <v>15</v>
      </c>
      <c r="F5" s="5" t="n">
        <v>0.45</v>
      </c>
      <c r="G5" s="6">
        <f>B5/(1+$B$14)</f>
        <v/>
      </c>
      <c r="H5" s="6">
        <f>C5+D5+E5</f>
        <v/>
      </c>
      <c r="I5" s="6">
        <f>G5-H5</f>
        <v/>
      </c>
      <c r="J5" t="inlineStr">
        <is>
          <t>Mercado en Lima: desde S/ 100–135.</t>
        </is>
      </c>
    </row>
    <row r="6">
      <c r="A6" s="3" t="inlineStr">
        <is>
          <t>Fumigación restaurante / pollería (150–250 m²)</t>
        </is>
      </c>
      <c r="B6" s="4" t="n">
        <v>380</v>
      </c>
      <c r="C6" s="4" t="n">
        <v>45</v>
      </c>
      <c r="D6" s="4" t="n">
        <v>70</v>
      </c>
      <c r="E6" s="4" t="n">
        <v>15</v>
      </c>
      <c r="F6" s="5" t="n">
        <v>0.2</v>
      </c>
      <c r="G6" s="6">
        <f>B6/(1+$B$14)</f>
        <v/>
      </c>
      <c r="H6" s="6">
        <f>C6+D6+E6</f>
        <v/>
      </c>
      <c r="I6" s="6">
        <f>G6-H6</f>
        <v/>
      </c>
      <c r="J6" t="inlineStr">
        <is>
          <t>Mercado: desde S/ 400.</t>
        </is>
      </c>
    </row>
    <row r="7">
      <c r="A7" s="3" t="inlineStr">
        <is>
          <t>Limpieza y desinfección cisterna + tanque elevado (edificio)</t>
        </is>
      </c>
      <c r="B7" s="4" t="n">
        <v>550</v>
      </c>
      <c r="C7" s="4" t="n">
        <v>35</v>
      </c>
      <c r="D7" s="4" t="n">
        <v>160</v>
      </c>
      <c r="E7" s="4" t="n">
        <v>30</v>
      </c>
      <c r="F7" s="5" t="n">
        <v>0.15</v>
      </c>
      <c r="G7" s="6">
        <f>B7/(1+$B$14)</f>
        <v/>
      </c>
      <c r="H7" s="6">
        <f>C7+D7+E7</f>
        <v/>
      </c>
      <c r="I7" s="6">
        <f>G7-H7</f>
        <v/>
      </c>
      <c r="J7" t="inlineStr">
        <is>
          <t>Mercado: S/ 350–800 según volumen. 2 técnicos.</t>
        </is>
      </c>
    </row>
    <row r="8">
      <c r="A8" s="3" t="inlineStr">
        <is>
          <t>Contrato mensual de control de plagas (restaurante)</t>
        </is>
      </c>
      <c r="B8" s="4" t="n">
        <v>200</v>
      </c>
      <c r="C8" s="4" t="n">
        <v>35</v>
      </c>
      <c r="D8" s="4" t="n">
        <v>40</v>
      </c>
      <c r="E8" s="4" t="n">
        <v>10</v>
      </c>
      <c r="F8" s="5" t="n">
        <v>0.15</v>
      </c>
      <c r="G8" s="6">
        <f>B8/(1+$B$14)</f>
        <v/>
      </c>
      <c r="H8" s="6">
        <f>C8+D8+E8</f>
        <v/>
      </c>
      <c r="I8" s="6">
        <f>G8-H8</f>
        <v/>
      </c>
      <c r="J8" t="inlineStr">
        <is>
          <t>Visita mensual; el cliente renueva solo.</t>
        </is>
      </c>
    </row>
    <row r="9">
      <c r="A9" s="3" t="inlineStr">
        <is>
          <t>Fumigación de vivienda</t>
        </is>
      </c>
      <c r="B9" s="4" t="n">
        <v>180</v>
      </c>
      <c r="C9" s="4" t="n">
        <v>25</v>
      </c>
      <c r="D9" s="4" t="n">
        <v>40</v>
      </c>
      <c r="E9" s="4" t="n">
        <v>15</v>
      </c>
      <c r="F9" s="5" t="n">
        <v>0.05</v>
      </c>
      <c r="G9" s="6">
        <f>B9/(1+$B$14)</f>
        <v/>
      </c>
      <c r="H9" s="6">
        <f>C9+D9+E9</f>
        <v/>
      </c>
      <c r="I9" s="6">
        <f>G9-H9</f>
        <v/>
      </c>
      <c r="J9" t="inlineStr">
        <is>
          <t>Sube en verano (dengue, cucarachas).</t>
        </is>
      </c>
    </row>
    <row r="10">
      <c r="A10" s="7" t="inlineStr">
        <is>
          <t>Promedio ponderado por servicio</t>
        </is>
      </c>
      <c r="B10" s="8">
        <f>SUMPRODUCT(B5:B9,$F$5:$F$9)</f>
        <v/>
      </c>
      <c r="C10" s="7" t="n"/>
      <c r="D10" s="7" t="n"/>
      <c r="E10" s="7" t="n"/>
      <c r="F10" s="9">
        <f>SUM(F5:F9)</f>
        <v/>
      </c>
      <c r="G10" s="8">
        <f>SUMPRODUCT(G5:G9,$F$5:$F$9)</f>
        <v/>
      </c>
      <c r="H10" s="8">
        <f>SUMPRODUCT(H5:H9,$F$5:$F$9)</f>
        <v/>
      </c>
      <c r="I10" s="8">
        <f>SUMPRODUCT(I5:I9,$F$5:$F$9)</f>
        <v/>
      </c>
      <c r="J10" s="7" t="inlineStr">
        <is>
          <t>La columna F debe sumar 100%.</t>
        </is>
      </c>
    </row>
    <row r="13">
      <c r="A13" s="10" t="inlineStr">
        <is>
          <t>Impuestos</t>
        </is>
      </c>
    </row>
    <row r="14">
      <c r="A14" t="inlineStr">
        <is>
          <t>IGV</t>
        </is>
      </c>
      <c r="B14" s="5" t="n">
        <v>0.18</v>
      </c>
      <c r="C14" t="inlineStr">
        <is>
          <t>Se descuenta del precio cobrado (conservador: no resta el IGV de tus compras).</t>
        </is>
      </c>
    </row>
    <row r="15">
      <c r="A15" t="inlineStr">
        <is>
          <t>Impuesto a la renta (Régimen MYPE: 10% hasta 15 UIT de utilidad)</t>
        </is>
      </c>
      <c r="B15" s="5" t="n">
        <v>0.1</v>
      </c>
    </row>
    <row r="17">
      <c r="A17" s="10" t="inlineStr">
        <is>
          <t>Gastos fijos al mes</t>
        </is>
      </c>
    </row>
    <row r="18">
      <c r="A18" t="inlineStr">
        <is>
          <t>Almacén pequeño / oficina (exigido para guardar productos)</t>
        </is>
      </c>
      <c r="B18" s="4" t="n">
        <v>800</v>
      </c>
      <c r="C18" t="inlineStr">
        <is>
          <t>Depósitos en Lima Norte/Este desde S/ 250–1,800.</t>
        </is>
      </c>
    </row>
    <row r="19">
      <c r="A19" t="inlineStr">
        <is>
          <t>Contador</t>
        </is>
      </c>
      <c r="B19" s="4" t="n">
        <v>250</v>
      </c>
    </row>
    <row r="20">
      <c r="A20" t="inlineStr">
        <is>
          <t>Marketing digital (Google Maps, Meta, Google Ads)</t>
        </is>
      </c>
      <c r="B20" s="4" t="n">
        <v>800</v>
      </c>
      <c r="C20" t="inlineStr">
        <is>
          <t>La clave del negocio. No recortar.</t>
        </is>
      </c>
    </row>
    <row r="21">
      <c r="A21" t="inlineStr">
        <is>
          <t>Celular, internet, software de agenda y facturación</t>
        </is>
      </c>
      <c r="B21" s="4" t="n">
        <v>120</v>
      </c>
    </row>
    <row r="22">
      <c r="A22" t="inlineStr">
        <is>
          <t>Cuota CIP y certificado de habilidad</t>
        </is>
      </c>
      <c r="B22" s="4" t="n">
        <v>40</v>
      </c>
      <c r="C22" t="inlineStr">
        <is>
          <t>Tú como director técnico.</t>
        </is>
      </c>
    </row>
    <row r="23">
      <c r="A23" t="inlineStr">
        <is>
          <t>SCTR y seguros de los técnicos</t>
        </is>
      </c>
      <c r="B23" s="4" t="n">
        <v>100</v>
      </c>
      <c r="C23" t="inlineStr">
        <is>
          <t>Obligatorio para actividad de riesgo.</t>
        </is>
      </c>
    </row>
    <row r="24">
      <c r="A24" t="inlineStr">
        <is>
          <t>Otros (uniformes, mantenimiento de equipos, imprevistos)</t>
        </is>
      </c>
      <c r="B24" s="4" t="n">
        <v>200</v>
      </c>
    </row>
    <row r="25">
      <c r="A25" s="10" t="inlineStr">
        <is>
          <t>Total gastos fijos al mes</t>
        </is>
      </c>
      <c r="B25" s="11">
        <f>SUM(B18:B24)</f>
        <v/>
      </c>
    </row>
    <row r="26">
      <c r="A26" s="10" t="inlineStr">
        <is>
          <t>Servicios al mes para no perder dinero (punto de equilibrio)</t>
        </is>
      </c>
      <c r="B26" s="10">
        <f>ROUNDUP(B25/I10,0)</f>
        <v/>
      </c>
    </row>
    <row r="28">
      <c r="A28" t="inlineStr">
        <is>
          <t>Leyenda: celdas amarillas con texto azul = datos que puedes cambiar · texto negro = fórmulas · texto verde = valores tomados de otra hoja.</t>
        </is>
      </c>
    </row>
    <row r="29">
      <c r="A29" t="inlineStr">
        <is>
          <t>Cifras de referencia (octubre de 2026). Antes de invertir, confirma precios con 10 llamadas a competidores y 50 negocios de tu zona.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80" customWidth="1" min="3" max="3"/>
  </cols>
  <sheetData>
    <row r="1">
      <c r="A1" s="1" t="inlineStr">
        <is>
          <t>Inversión inicial estimada</t>
        </is>
      </c>
    </row>
    <row r="2">
      <c r="A2" t="inlineStr">
        <is>
          <t>Cambia los montos amarillos. Si ya estás colegiado en el CIP, pon 0 en esa fila.</t>
        </is>
      </c>
    </row>
    <row r="4">
      <c r="A4" s="2" t="inlineStr">
        <is>
          <t>Concepto</t>
        </is>
      </c>
      <c r="B4" s="2" t="inlineStr">
        <is>
          <t>Monto</t>
        </is>
      </c>
      <c r="C4" s="2" t="inlineStr">
        <is>
          <t>Nota</t>
        </is>
      </c>
    </row>
    <row r="5">
      <c r="A5" s="3" t="inlineStr">
        <is>
          <t>Colegiatura CIP Lima (si aún no la tienes)</t>
        </is>
      </c>
      <c r="B5" s="4" t="n">
        <v>1432</v>
      </c>
      <c r="C5" t="inlineStr">
        <is>
          <t>Requisito para ser director técnico. Ingeniería industrial califica (D.S. 022-2001-SA, art. 14).</t>
        </is>
      </c>
    </row>
    <row r="6">
      <c r="A6" s="3" t="inlineStr">
        <is>
          <t>Constitución de empresa (SAC/EIRL) y licencia de funcionamiento</t>
        </is>
      </c>
      <c r="B6" s="4" t="n">
        <v>900</v>
      </c>
      <c r="C6" t="inlineStr">
        <is>
          <t>Constitución vía SID-SUNARP + licencia municipal del almacén.</t>
        </is>
      </c>
    </row>
    <row r="7">
      <c r="A7" s="3" t="inlineStr">
        <is>
          <t>Trámite de autorización ante la DIRIS de tu zona</t>
        </is>
      </c>
      <c r="B7" s="4" t="n">
        <v>400</v>
      </c>
      <c r="C7" t="inlineStr">
        <is>
          <t>Verificar tasa exacta en el TUPA de la DIRIS (Centro/Norte/Sur/Este).</t>
        </is>
      </c>
    </row>
    <row r="8">
      <c r="A8" s="3" t="inlineStr">
        <is>
          <t>2 fumigadoras manuales de presión 20 L</t>
        </is>
      </c>
      <c r="B8" s="4" t="n">
        <v>700</v>
      </c>
    </row>
    <row r="9">
      <c r="A9" s="3" t="inlineStr">
        <is>
          <t>Nebulizadora ULV eléctrica</t>
        </is>
      </c>
      <c r="B9" s="4" t="n">
        <v>1200</v>
      </c>
      <c r="C9" t="inlineStr">
        <is>
          <t>Puedes postergarla al mes 2–3.</t>
        </is>
      </c>
    </row>
    <row r="10">
      <c r="A10" s="3" t="inlineStr">
        <is>
          <t>Equipo para cisternas: bomba sumergible, cepillos, escalera, linterna</t>
        </is>
      </c>
      <c r="B10" s="4" t="n">
        <v>700</v>
      </c>
    </row>
    <row r="11">
      <c r="A11" s="3" t="inlineStr">
        <is>
          <t>Equipo de protección personal (respiradores, overoles, lentes, guantes, botas)</t>
        </is>
      </c>
      <c r="B11" s="4" t="n">
        <v>400</v>
      </c>
    </row>
    <row r="12">
      <c r="A12" s="3" t="inlineStr">
        <is>
          <t>Insumos iniciales con registro DIGESA (insecticidas, cebos gel, rodenticidas, desinfectantes, cloro)</t>
        </is>
      </c>
      <c r="B12" s="4" t="n">
        <v>800</v>
      </c>
    </row>
    <row r="13">
      <c r="A13" s="3" t="inlineStr">
        <is>
          <t>Marca, uniformes, stickers de certificado, volantes</t>
        </is>
      </c>
      <c r="B13" s="4" t="n">
        <v>400</v>
      </c>
    </row>
    <row r="14">
      <c r="A14" s="3" t="inlineStr">
        <is>
          <t>Marketing de lanzamiento (primer mes de anuncios)</t>
        </is>
      </c>
      <c r="B14" s="4" t="n">
        <v>600</v>
      </c>
    </row>
    <row r="15">
      <c r="A15" s="3" t="inlineStr">
        <is>
          <t>Capital de trabajo (1 mes de gastos fijos parciales)</t>
        </is>
      </c>
      <c r="B15" s="4" t="n">
        <v>1000</v>
      </c>
    </row>
    <row r="16">
      <c r="A16" s="10" t="inlineStr">
        <is>
          <t>Total inversión inicial</t>
        </is>
      </c>
      <c r="B16" s="11">
        <f>SUM(B5:B15)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Proyección a 12 meses</t>
        </is>
      </c>
    </row>
    <row r="2">
      <c r="A2" t="inlineStr">
        <is>
          <t>Escenario: % del volumen planeado que realmente logras</t>
        </is>
      </c>
      <c r="F2" s="5" t="n">
        <v>1</v>
      </c>
      <c r="G2" t="inlineStr">
        <is>
          <t>Prueba con 60% para ver el escenario conservador.</t>
        </is>
      </c>
    </row>
    <row r="4" ht="45" customHeight="1">
      <c r="A4" s="2" t="inlineStr">
        <is>
          <t>Mes</t>
        </is>
      </c>
      <c r="B4" s="2" t="inlineStr">
        <is>
          <t>Servicios planeados</t>
        </is>
      </c>
      <c r="C4" s="2" t="inlineStr">
        <is>
          <t>Servicios logrados</t>
        </is>
      </c>
      <c r="D4" s="2" t="inlineStr">
        <is>
          <t>Ventas (con IGV)</t>
        </is>
      </c>
      <c r="E4" s="2" t="inlineStr">
        <is>
          <t>Ventas sin IGV</t>
        </is>
      </c>
      <c r="F4" s="2" t="inlineStr">
        <is>
          <t>Costo variable</t>
        </is>
      </c>
      <c r="G4" s="2" t="inlineStr">
        <is>
          <t>Contribución</t>
        </is>
      </c>
      <c r="H4" s="2" t="inlineStr">
        <is>
          <t>Gastos fijos</t>
        </is>
      </c>
      <c r="I4" s="2" t="inlineStr">
        <is>
          <t>Utilidad antes de renta</t>
        </is>
      </c>
      <c r="J4" s="2" t="inlineStr">
        <is>
          <t>Impuesto a la renta</t>
        </is>
      </c>
      <c r="K4" s="2" t="inlineStr">
        <is>
          <t>Utilidad neta (tu ingreso)</t>
        </is>
      </c>
      <c r="L4" s="2" t="inlineStr">
        <is>
          <t>Caja acumulada (descontando inversión)</t>
        </is>
      </c>
      <c r="M4" s="2" t="inlineStr">
        <is>
          <t>Mes con caja positiva</t>
        </is>
      </c>
    </row>
    <row r="5">
      <c r="A5" t="n">
        <v>1</v>
      </c>
      <c r="B5" s="12" t="n">
        <v>15</v>
      </c>
      <c r="C5">
        <f>ROUND(B5*$F$2,0)</f>
        <v/>
      </c>
      <c r="D5" s="13">
        <f>C5*Supuestos!$B$10</f>
        <v/>
      </c>
      <c r="E5" s="13">
        <f>C5*Supuestos!$G$10</f>
        <v/>
      </c>
      <c r="F5" s="13">
        <f>C5*Supuestos!$H$10</f>
        <v/>
      </c>
      <c r="G5" s="13">
        <f>E5-F5</f>
        <v/>
      </c>
      <c r="H5" s="14">
        <f>Supuestos!$B$25</f>
        <v/>
      </c>
      <c r="I5" s="13">
        <f>G5-H5</f>
        <v/>
      </c>
      <c r="J5" s="13">
        <f>MAX(0,I5)*Supuestos!$B$15</f>
        <v/>
      </c>
      <c r="K5" s="13">
        <f>I5-J5</f>
        <v/>
      </c>
      <c r="L5" s="13">
        <f>-'Inversión inicial'!$B$16+K5</f>
        <v/>
      </c>
      <c r="M5">
        <f>IF(L5&gt;=0,A5,"")</f>
        <v/>
      </c>
    </row>
    <row r="6">
      <c r="A6" t="n">
        <v>2</v>
      </c>
      <c r="B6" s="12" t="n">
        <v>25</v>
      </c>
      <c r="C6">
        <f>ROUND(B6*$F$2,0)</f>
        <v/>
      </c>
      <c r="D6" s="13">
        <f>C6*Supuestos!$B$10</f>
        <v/>
      </c>
      <c r="E6" s="13">
        <f>C6*Supuestos!$G$10</f>
        <v/>
      </c>
      <c r="F6" s="13">
        <f>C6*Supuestos!$H$10</f>
        <v/>
      </c>
      <c r="G6" s="13">
        <f>E6-F6</f>
        <v/>
      </c>
      <c r="H6" s="14">
        <f>Supuestos!$B$25</f>
        <v/>
      </c>
      <c r="I6" s="13">
        <f>G6-H6</f>
        <v/>
      </c>
      <c r="J6" s="13">
        <f>MAX(0,I6)*Supuestos!$B$15</f>
        <v/>
      </c>
      <c r="K6" s="13">
        <f>I6-J6</f>
        <v/>
      </c>
      <c r="L6" s="13">
        <f>L5+K6</f>
        <v/>
      </c>
      <c r="M6">
        <f>IF(L6&gt;=0,A6,"")</f>
        <v/>
      </c>
    </row>
    <row r="7">
      <c r="A7" t="n">
        <v>3</v>
      </c>
      <c r="B7" s="12" t="n">
        <v>35</v>
      </c>
      <c r="C7">
        <f>ROUND(B7*$F$2,0)</f>
        <v/>
      </c>
      <c r="D7" s="13">
        <f>C7*Supuestos!$B$10</f>
        <v/>
      </c>
      <c r="E7" s="13">
        <f>C7*Supuestos!$G$10</f>
        <v/>
      </c>
      <c r="F7" s="13">
        <f>C7*Supuestos!$H$10</f>
        <v/>
      </c>
      <c r="G7" s="13">
        <f>E7-F7</f>
        <v/>
      </c>
      <c r="H7" s="14">
        <f>Supuestos!$B$25</f>
        <v/>
      </c>
      <c r="I7" s="13">
        <f>G7-H7</f>
        <v/>
      </c>
      <c r="J7" s="13">
        <f>MAX(0,I7)*Supuestos!$B$15</f>
        <v/>
      </c>
      <c r="K7" s="13">
        <f>I7-J7</f>
        <v/>
      </c>
      <c r="L7" s="13">
        <f>L6+K7</f>
        <v/>
      </c>
      <c r="M7">
        <f>IF(L7&gt;=0,A7,"")</f>
        <v/>
      </c>
    </row>
    <row r="8">
      <c r="A8" t="n">
        <v>4</v>
      </c>
      <c r="B8" s="12" t="n">
        <v>45</v>
      </c>
      <c r="C8">
        <f>ROUND(B8*$F$2,0)</f>
        <v/>
      </c>
      <c r="D8" s="13">
        <f>C8*Supuestos!$B$10</f>
        <v/>
      </c>
      <c r="E8" s="13">
        <f>C8*Supuestos!$G$10</f>
        <v/>
      </c>
      <c r="F8" s="13">
        <f>C8*Supuestos!$H$10</f>
        <v/>
      </c>
      <c r="G8" s="13">
        <f>E8-F8</f>
        <v/>
      </c>
      <c r="H8" s="14">
        <f>Supuestos!$B$25</f>
        <v/>
      </c>
      <c r="I8" s="13">
        <f>G8-H8</f>
        <v/>
      </c>
      <c r="J8" s="13">
        <f>MAX(0,I8)*Supuestos!$B$15</f>
        <v/>
      </c>
      <c r="K8" s="13">
        <f>I8-J8</f>
        <v/>
      </c>
      <c r="L8" s="13">
        <f>L7+K8</f>
        <v/>
      </c>
      <c r="M8">
        <f>IF(L8&gt;=0,A8,"")</f>
        <v/>
      </c>
    </row>
    <row r="9">
      <c r="A9" t="n">
        <v>5</v>
      </c>
      <c r="B9" s="12" t="n">
        <v>55</v>
      </c>
      <c r="C9">
        <f>ROUND(B9*$F$2,0)</f>
        <v/>
      </c>
      <c r="D9" s="13">
        <f>C9*Supuestos!$B$10</f>
        <v/>
      </c>
      <c r="E9" s="13">
        <f>C9*Supuestos!$G$10</f>
        <v/>
      </c>
      <c r="F9" s="13">
        <f>C9*Supuestos!$H$10</f>
        <v/>
      </c>
      <c r="G9" s="13">
        <f>E9-F9</f>
        <v/>
      </c>
      <c r="H9" s="14">
        <f>Supuestos!$B$25</f>
        <v/>
      </c>
      <c r="I9" s="13">
        <f>G9-H9</f>
        <v/>
      </c>
      <c r="J9" s="13">
        <f>MAX(0,I9)*Supuestos!$B$15</f>
        <v/>
      </c>
      <c r="K9" s="13">
        <f>I9-J9</f>
        <v/>
      </c>
      <c r="L9" s="13">
        <f>L8+K9</f>
        <v/>
      </c>
      <c r="M9">
        <f>IF(L9&gt;=0,A9,"")</f>
        <v/>
      </c>
    </row>
    <row r="10">
      <c r="A10" t="n">
        <v>6</v>
      </c>
      <c r="B10" s="12" t="n">
        <v>65</v>
      </c>
      <c r="C10">
        <f>ROUND(B10*$F$2,0)</f>
        <v/>
      </c>
      <c r="D10" s="13">
        <f>C10*Supuestos!$B$10</f>
        <v/>
      </c>
      <c r="E10" s="13">
        <f>C10*Supuestos!$G$10</f>
        <v/>
      </c>
      <c r="F10" s="13">
        <f>C10*Supuestos!$H$10</f>
        <v/>
      </c>
      <c r="G10" s="13">
        <f>E10-F10</f>
        <v/>
      </c>
      <c r="H10" s="14">
        <f>Supuestos!$B$25</f>
        <v/>
      </c>
      <c r="I10" s="13">
        <f>G10-H10</f>
        <v/>
      </c>
      <c r="J10" s="13">
        <f>MAX(0,I10)*Supuestos!$B$15</f>
        <v/>
      </c>
      <c r="K10" s="13">
        <f>I10-J10</f>
        <v/>
      </c>
      <c r="L10" s="13">
        <f>L9+K10</f>
        <v/>
      </c>
      <c r="M10">
        <f>IF(L10&gt;=0,A10,"")</f>
        <v/>
      </c>
    </row>
    <row r="11">
      <c r="A11" t="n">
        <v>7</v>
      </c>
      <c r="B11" s="12" t="n">
        <v>75</v>
      </c>
      <c r="C11">
        <f>ROUND(B11*$F$2,0)</f>
        <v/>
      </c>
      <c r="D11" s="13">
        <f>C11*Supuestos!$B$10</f>
        <v/>
      </c>
      <c r="E11" s="13">
        <f>C11*Supuestos!$G$10</f>
        <v/>
      </c>
      <c r="F11" s="13">
        <f>C11*Supuestos!$H$10</f>
        <v/>
      </c>
      <c r="G11" s="13">
        <f>E11-F11</f>
        <v/>
      </c>
      <c r="H11" s="14">
        <f>Supuestos!$B$25</f>
        <v/>
      </c>
      <c r="I11" s="13">
        <f>G11-H11</f>
        <v/>
      </c>
      <c r="J11" s="13">
        <f>MAX(0,I11)*Supuestos!$B$15</f>
        <v/>
      </c>
      <c r="K11" s="13">
        <f>I11-J11</f>
        <v/>
      </c>
      <c r="L11" s="13">
        <f>L10+K11</f>
        <v/>
      </c>
      <c r="M11">
        <f>IF(L11&gt;=0,A11,"")</f>
        <v/>
      </c>
    </row>
    <row r="12">
      <c r="A12" t="n">
        <v>8</v>
      </c>
      <c r="B12" s="12" t="n">
        <v>85</v>
      </c>
      <c r="C12">
        <f>ROUND(B12*$F$2,0)</f>
        <v/>
      </c>
      <c r="D12" s="13">
        <f>C12*Supuestos!$B$10</f>
        <v/>
      </c>
      <c r="E12" s="13">
        <f>C12*Supuestos!$G$10</f>
        <v/>
      </c>
      <c r="F12" s="13">
        <f>C12*Supuestos!$H$10</f>
        <v/>
      </c>
      <c r="G12" s="13">
        <f>E12-F12</f>
        <v/>
      </c>
      <c r="H12" s="14">
        <f>Supuestos!$B$25</f>
        <v/>
      </c>
      <c r="I12" s="13">
        <f>G12-H12</f>
        <v/>
      </c>
      <c r="J12" s="13">
        <f>MAX(0,I12)*Supuestos!$B$15</f>
        <v/>
      </c>
      <c r="K12" s="13">
        <f>I12-J12</f>
        <v/>
      </c>
      <c r="L12" s="13">
        <f>L11+K12</f>
        <v/>
      </c>
      <c r="M12">
        <f>IF(L12&gt;=0,A12,"")</f>
        <v/>
      </c>
    </row>
    <row r="13">
      <c r="A13" t="n">
        <v>9</v>
      </c>
      <c r="B13" s="12" t="n">
        <v>95</v>
      </c>
      <c r="C13">
        <f>ROUND(B13*$F$2,0)</f>
        <v/>
      </c>
      <c r="D13" s="13">
        <f>C13*Supuestos!$B$10</f>
        <v/>
      </c>
      <c r="E13" s="13">
        <f>C13*Supuestos!$G$10</f>
        <v/>
      </c>
      <c r="F13" s="13">
        <f>C13*Supuestos!$H$10</f>
        <v/>
      </c>
      <c r="G13" s="13">
        <f>E13-F13</f>
        <v/>
      </c>
      <c r="H13" s="14">
        <f>Supuestos!$B$25</f>
        <v/>
      </c>
      <c r="I13" s="13">
        <f>G13-H13</f>
        <v/>
      </c>
      <c r="J13" s="13">
        <f>MAX(0,I13)*Supuestos!$B$15</f>
        <v/>
      </c>
      <c r="K13" s="13">
        <f>I13-J13</f>
        <v/>
      </c>
      <c r="L13" s="13">
        <f>L12+K13</f>
        <v/>
      </c>
      <c r="M13">
        <f>IF(L13&gt;=0,A13,"")</f>
        <v/>
      </c>
    </row>
    <row r="14">
      <c r="A14" t="n">
        <v>10</v>
      </c>
      <c r="B14" s="12" t="n">
        <v>105</v>
      </c>
      <c r="C14">
        <f>ROUND(B14*$F$2,0)</f>
        <v/>
      </c>
      <c r="D14" s="13">
        <f>C14*Supuestos!$B$10</f>
        <v/>
      </c>
      <c r="E14" s="13">
        <f>C14*Supuestos!$G$10</f>
        <v/>
      </c>
      <c r="F14" s="13">
        <f>C14*Supuestos!$H$10</f>
        <v/>
      </c>
      <c r="G14" s="13">
        <f>E14-F14</f>
        <v/>
      </c>
      <c r="H14" s="14">
        <f>Supuestos!$B$25</f>
        <v/>
      </c>
      <c r="I14" s="13">
        <f>G14-H14</f>
        <v/>
      </c>
      <c r="J14" s="13">
        <f>MAX(0,I14)*Supuestos!$B$15</f>
        <v/>
      </c>
      <c r="K14" s="13">
        <f>I14-J14</f>
        <v/>
      </c>
      <c r="L14" s="13">
        <f>L13+K14</f>
        <v/>
      </c>
      <c r="M14">
        <f>IF(L14&gt;=0,A14,"")</f>
        <v/>
      </c>
    </row>
    <row r="15">
      <c r="A15" t="n">
        <v>11</v>
      </c>
      <c r="B15" s="12" t="n">
        <v>115</v>
      </c>
      <c r="C15">
        <f>ROUND(B15*$F$2,0)</f>
        <v/>
      </c>
      <c r="D15" s="13">
        <f>C15*Supuestos!$B$10</f>
        <v/>
      </c>
      <c r="E15" s="13">
        <f>C15*Supuestos!$G$10</f>
        <v/>
      </c>
      <c r="F15" s="13">
        <f>C15*Supuestos!$H$10</f>
        <v/>
      </c>
      <c r="G15" s="13">
        <f>E15-F15</f>
        <v/>
      </c>
      <c r="H15" s="14">
        <f>Supuestos!$B$25</f>
        <v/>
      </c>
      <c r="I15" s="13">
        <f>G15-H15</f>
        <v/>
      </c>
      <c r="J15" s="13">
        <f>MAX(0,I15)*Supuestos!$B$15</f>
        <v/>
      </c>
      <c r="K15" s="13">
        <f>I15-J15</f>
        <v/>
      </c>
      <c r="L15" s="13">
        <f>L14+K15</f>
        <v/>
      </c>
      <c r="M15">
        <f>IF(L15&gt;=0,A15,"")</f>
        <v/>
      </c>
    </row>
    <row r="16">
      <c r="A16" t="n">
        <v>12</v>
      </c>
      <c r="B16" s="12" t="n">
        <v>125</v>
      </c>
      <c r="C16">
        <f>ROUND(B16*$F$2,0)</f>
        <v/>
      </c>
      <c r="D16" s="13">
        <f>C16*Supuestos!$B$10</f>
        <v/>
      </c>
      <c r="E16" s="13">
        <f>C16*Supuestos!$G$10</f>
        <v/>
      </c>
      <c r="F16" s="13">
        <f>C16*Supuestos!$H$10</f>
        <v/>
      </c>
      <c r="G16" s="13">
        <f>E16-F16</f>
        <v/>
      </c>
      <c r="H16" s="14">
        <f>Supuestos!$B$25</f>
        <v/>
      </c>
      <c r="I16" s="13">
        <f>G16-H16</f>
        <v/>
      </c>
      <c r="J16" s="13">
        <f>MAX(0,I16)*Supuestos!$B$15</f>
        <v/>
      </c>
      <c r="K16" s="13">
        <f>I16-J16</f>
        <v/>
      </c>
      <c r="L16" s="13">
        <f>L15+K16</f>
        <v/>
      </c>
      <c r="M16">
        <f>IF(L16&gt;=0,A16,"")</f>
        <v/>
      </c>
    </row>
    <row r="17">
      <c r="A17" s="7" t="inlineStr">
        <is>
          <t>Total año 1</t>
        </is>
      </c>
      <c r="B17" s="7">
        <f>SUM(B5:B16)</f>
        <v/>
      </c>
      <c r="C17" s="7">
        <f>SUM(C5:C16)</f>
        <v/>
      </c>
      <c r="D17" s="15">
        <f>SUM(D5:D16)</f>
        <v/>
      </c>
      <c r="E17" s="15">
        <f>SUM(E5:E16)</f>
        <v/>
      </c>
      <c r="F17" s="15">
        <f>SUM(F5:F16)</f>
        <v/>
      </c>
      <c r="G17" s="15">
        <f>SUM(G5:G16)</f>
        <v/>
      </c>
      <c r="H17" s="15">
        <f>SUM(H5:H16)</f>
        <v/>
      </c>
      <c r="I17" s="15">
        <f>SUM(I5:I16)</f>
        <v/>
      </c>
      <c r="J17" s="15">
        <f>SUM(J5:J16)</f>
        <v/>
      </c>
      <c r="K17" s="15">
        <f>SUM(K5:K16)</f>
        <v/>
      </c>
      <c r="L17" s="16" t="n"/>
    </row>
    <row r="19">
      <c r="A19" s="10" t="inlineStr">
        <is>
          <t>Mes en que recuperas la inversión</t>
        </is>
      </c>
      <c r="C19" s="10">
        <f>IF(COUNT(M5:M16)=0,"Más de 12 meses",MIN(M5:M16))</f>
        <v/>
      </c>
    </row>
    <row r="20">
      <c r="A20" s="10" t="inlineStr">
        <is>
          <t>Utilidad neta promedio de los últimos 3 meses</t>
        </is>
      </c>
      <c r="C20" s="11">
        <f>AVERAGE(K14:K16)</f>
        <v/>
      </c>
    </row>
    <row r="22">
      <c r="A22" t="inlineStr">
        <is>
          <t>La utilidad neta es lo que queda para ti (y luego para tus padres). Al inicio tú haces de técnico; el costo de mano de obra ya está incluido, así que si tú haces el servicio, ese pago también es tuyo.</t>
        </is>
      </c>
    </row>
    <row r="23">
      <c r="A23" t="inlineStr">
        <is>
          <t>Con más de ~70 servicios al mes necesitas un segundo equipo; su pago ya está en la mano de obra por servicio.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2026-10-05T04:04:51Z</dcterms:created>
  <dcterms:modified xsi:type="dcterms:W3CDTF">2026-10-05T04:04:51Z</dcterms:modified>
</cp:coreProperties>
</file>