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Metas diarias" sheetId="2" state="visible" r:id="rId2"/>
    <sheet name="Por canal de ve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S/ &quot;#,##0.00"/>
    <numFmt numFmtId="165" formatCode="0.0%"/>
    <numFmt numFmtId="166" formatCode="&quot;S/ &quot;#,##0"/>
    <numFmt numFmtId="167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666666"/>
      <sz val="9"/>
    </font>
    <font>
      <name val="Arial"/>
      <b val="1"/>
    </font>
    <font>
      <name val="Arial"/>
      <i val="1"/>
      <sz val="9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7A4E1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3" borderId="1" pivotButton="0" quotePrefix="0" xfId="0"/>
    <xf numFmtId="0" fontId="6" fillId="0" borderId="1" pivotButton="0" quotePrefix="0" xfId="0"/>
    <xf numFmtId="165" fontId="5" fillId="3" borderId="1" pivotButton="0" quotePrefix="0" xfId="0"/>
    <xf numFmtId="2" fontId="5" fillId="3" borderId="1" pivotButton="0" quotePrefix="0" xfId="0"/>
    <xf numFmtId="3" fontId="5" fillId="3" borderId="1" pivotButton="0" quotePrefix="0" xfId="0"/>
    <xf numFmtId="0" fontId="7" fillId="0" borderId="0" pivotButton="0" quotePrefix="0" xfId="0"/>
    <xf numFmtId="164" fontId="7" fillId="0" borderId="1" pivotButton="0" quotePrefix="0" xfId="0"/>
    <xf numFmtId="0" fontId="6" fillId="0" borderId="0" pivotButton="0" quotePrefix="0" xfId="0"/>
    <xf numFmtId="166" fontId="5" fillId="3" borderId="1" pivotButton="0" quotePrefix="0" xfId="0"/>
    <xf numFmtId="0" fontId="8" fillId="0" borderId="0" pivotButton="0" quotePrefix="0" xfId="0"/>
    <xf numFmtId="166" fontId="4" fillId="0" borderId="1" pivotButton="0" quotePrefix="0" xfId="0"/>
    <xf numFmtId="3" fontId="4" fillId="0" borderId="1" pivotButton="0" quotePrefix="0" xfId="0"/>
    <xf numFmtId="167" fontId="4" fillId="0" borderId="1" pivotButton="0" quotePrefix="0" xfId="0"/>
    <xf numFmtId="0" fontId="0" fillId="0" borderId="1" pivotButton="0" quotePrefix="0" xfId="0"/>
    <xf numFmtId="164" fontId="9" fillId="0" borderId="1" pivotButton="0" quotePrefix="0" xfId="0"/>
    <xf numFmtId="166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1" t="inlineStr">
        <is>
          <t>Venta de huevos en Lima: supuestos</t>
        </is>
      </c>
    </row>
    <row r="2">
      <c r="A2" s="2" t="inlineStr">
        <is>
          <t>Edita solo las celdas amarillas (texto azul). Todo lo demás se recalcula solo.</t>
        </is>
      </c>
    </row>
    <row r="3" ht="32" customHeight="1">
      <c r="A3" s="3" t="inlineStr">
        <is>
          <t>Supuesto</t>
        </is>
      </c>
      <c r="B3" s="3" t="inlineStr">
        <is>
          <t>Valor</t>
        </is>
      </c>
      <c r="C3" s="3" t="inlineStr">
        <is>
          <t>Nota</t>
        </is>
      </c>
    </row>
    <row r="4">
      <c r="A4" s="4" t="inlineStr">
        <is>
          <t>Precio de compra por kg (granja o mayorista)</t>
        </is>
      </c>
      <c r="B4" s="5" t="n">
        <v>5.9</v>
      </c>
      <c r="C4" s="6" t="inlineStr">
        <is>
          <t>Estimado. Confírmalo con granjas de Huaral, Chancay o Lurín y con el MIDAGRI (SISAP).</t>
        </is>
      </c>
    </row>
    <row r="5">
      <c r="A5" s="4" t="inlineStr">
        <is>
          <t>Precio de venta promedio por kg (canal mixto)</t>
        </is>
      </c>
      <c r="B5" s="5" t="n">
        <v>7.2</v>
      </c>
      <c r="C5" s="6" t="inlineStr">
        <is>
          <t>Mitad a hogares (~S/ 7.80) y mitad a bodegas (~S/ 6.70).</t>
        </is>
      </c>
    </row>
    <row r="6">
      <c r="A6" s="4" t="inlineStr">
        <is>
          <t>Huevos rotos o perdidos (% de la compra)</t>
        </is>
      </c>
      <c r="B6" s="7" t="n">
        <v>0.02</v>
      </c>
      <c r="C6" s="6" t="inlineStr">
        <is>
          <t>Entre 2% y 3% es lo habitual.</t>
        </is>
      </c>
    </row>
    <row r="7">
      <c r="A7" s="4" t="inlineStr">
        <is>
          <t>Bolsas y empaque por kg</t>
        </is>
      </c>
      <c r="B7" s="5" t="n">
        <v>0.08</v>
      </c>
      <c r="C7" s="6" t="inlineStr">
        <is>
          <t>Estimado.</t>
        </is>
      </c>
    </row>
    <row r="8">
      <c r="A8" s="4" t="inlineStr">
        <is>
          <t>Combustible por kg</t>
        </is>
      </c>
      <c r="B8" s="5" t="n">
        <v>0.1</v>
      </c>
      <c r="C8" s="6" t="inlineStr">
        <is>
          <t>Estimado. Sube si entregas a muchos hogares lejanos.</t>
        </is>
      </c>
    </row>
    <row r="9">
      <c r="A9" s="4" t="inlineStr">
        <is>
          <t>Peso de una bandeja de 30 huevos (kg)</t>
        </is>
      </c>
      <c r="B9" s="8" t="n">
        <v>1.85</v>
      </c>
      <c r="C9" s="6" t="inlineStr">
        <is>
          <t>Huevo mediano o grande.</t>
        </is>
      </c>
    </row>
    <row r="10">
      <c r="A10" s="4" t="inlineStr">
        <is>
          <t>Huevos por bandeja</t>
        </is>
      </c>
      <c r="B10" s="9" t="n">
        <v>30</v>
      </c>
      <c r="C10" s="6" t="inlineStr"/>
    </row>
    <row r="11">
      <c r="A11" s="4" t="inlineStr">
        <is>
          <t>Bandejas por jaba</t>
        </is>
      </c>
      <c r="B11" s="9" t="n">
        <v>12</v>
      </c>
      <c r="C11" s="6" t="inlineStr">
        <is>
          <t>Una jaba tiene 360 huevos.</t>
        </is>
      </c>
    </row>
    <row r="12">
      <c r="A12" s="4" t="inlineStr">
        <is>
          <t>Días trabajados al mes</t>
        </is>
      </c>
      <c r="B12" s="9" t="n">
        <v>26</v>
      </c>
      <c r="C12" s="6" t="inlineStr">
        <is>
          <t>De lunes a sábado.</t>
        </is>
      </c>
    </row>
    <row r="13">
      <c r="A13" s="4" t="inlineStr">
        <is>
          <t>Días de stock como capital de trabajo</t>
        </is>
      </c>
      <c r="B13" s="9" t="n">
        <v>2</v>
      </c>
      <c r="C13" s="6" t="inlineStr">
        <is>
          <t>Dinero que necesitas tener para comprar mercadería por adelantado.</t>
        </is>
      </c>
    </row>
    <row r="15">
      <c r="A15" s="10" t="inlineStr">
        <is>
          <t>Ganancia limpia por kg (canal mixto)</t>
        </is>
      </c>
      <c r="B15" s="11">
        <f>B5-B4-B4*B6-B7-B8</f>
        <v/>
      </c>
      <c r="C15" s="12" t="inlineStr">
        <is>
          <t>Precio de venta − compra − huevos rotos − empaque − combustible</t>
        </is>
      </c>
    </row>
    <row r="17">
      <c r="A17" s="10" t="inlineStr">
        <is>
          <t>Gastos fijos por día según el tamaño del negocio</t>
        </is>
      </c>
    </row>
    <row r="18" ht="32" customHeight="1">
      <c r="A18" s="3" t="inlineStr">
        <is>
          <t>Nivel</t>
        </is>
      </c>
      <c r="B18" s="3" t="inlineStr">
        <is>
          <t>Gasto fijo al día</t>
        </is>
      </c>
      <c r="C18" s="3" t="inlineStr">
        <is>
          <t>Se aplica desde una ganancia diaria de</t>
        </is>
      </c>
    </row>
    <row r="19">
      <c r="A19" s="4" t="inlineStr">
        <is>
          <t>Tú solo, con moto o mototaxi (combustible base y celular)</t>
        </is>
      </c>
      <c r="B19" s="13" t="n">
        <v>30</v>
      </c>
      <c r="C19" s="13" t="n">
        <v>0</v>
      </c>
    </row>
    <row r="20">
      <c r="A20" s="4" t="inlineStr">
        <is>
          <t>Moto carguera o furgoneta y 1 ayudante</t>
        </is>
      </c>
      <c r="B20" s="13" t="n">
        <v>100</v>
      </c>
      <c r="C20" s="13" t="n">
        <v>201</v>
      </c>
    </row>
    <row r="21">
      <c r="A21" s="4" t="inlineStr">
        <is>
          <t>Distribuidora: camioneta, 2 ayudantes y almacén</t>
        </is>
      </c>
      <c r="B21" s="13" t="n">
        <v>200</v>
      </c>
      <c r="C21" s="13" t="n">
        <v>501</v>
      </c>
    </row>
    <row r="23">
      <c r="A23" s="14" t="inlineStr">
        <is>
          <t>Leyenda: celdas amarillas con texto azul = datos que puedes cambiar · texto negro = fórmulas · texto verde = valores tomados de esta hoja.</t>
        </is>
      </c>
    </row>
    <row r="24">
      <c r="A24" s="14" t="inlineStr">
        <is>
          <t>Todas las cifras son estimaciones de referencia (octubre de 2026). Antes de invertir, verifica los precios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2" customWidth="1" min="4" max="4"/>
    <col width="12" customWidth="1" min="5" max="5"/>
    <col width="11" customWidth="1" min="6" max="6"/>
    <col width="13" customWidth="1" min="7" max="7"/>
    <col width="13" customWidth="1" min="8" max="8"/>
    <col width="15" customWidth="1" min="9" max="9"/>
    <col width="14" customWidth="1" min="10" max="10"/>
  </cols>
  <sheetData>
    <row r="1">
      <c r="A1" s="1" t="inlineStr">
        <is>
          <t>Cuánto vender para ganar S/ 100 a S/ 1,000 al día</t>
        </is>
      </c>
    </row>
    <row r="2">
      <c r="A2" s="2" t="inlineStr">
        <is>
          <t>Puedes cambiar las metas de la columna A (amarillas). Los precios y costos se cambian en la hoja Supuestos.</t>
        </is>
      </c>
    </row>
    <row r="3" ht="32" customHeight="1">
      <c r="A3" s="3" t="inlineStr">
        <is>
          <t>Ganancia que quieres al día</t>
        </is>
      </c>
      <c r="B3" s="3" t="inlineStr">
        <is>
          <t>Gasto fijo al día</t>
        </is>
      </c>
      <c r="C3" s="3" t="inlineStr">
        <is>
          <t>Kg al día</t>
        </is>
      </c>
      <c r="D3" s="3" t="inlineStr">
        <is>
          <t>Bandejas al día</t>
        </is>
      </c>
      <c r="E3" s="3" t="inlineStr">
        <is>
          <t>Huevos al día</t>
        </is>
      </c>
      <c r="F3" s="3" t="inlineStr">
        <is>
          <t>Jabas al día</t>
        </is>
      </c>
      <c r="G3" s="3" t="inlineStr">
        <is>
          <t>Ventas al día</t>
        </is>
      </c>
      <c r="H3" s="3" t="inlineStr">
        <is>
          <t>Compra al día</t>
        </is>
      </c>
      <c r="I3" s="3" t="inlineStr">
        <is>
          <t>Capital de trabajo necesario</t>
        </is>
      </c>
      <c r="J3" s="3" t="inlineStr">
        <is>
          <t>Ganancia al mes</t>
        </is>
      </c>
    </row>
    <row r="4">
      <c r="A4" s="13" t="n">
        <v>100</v>
      </c>
      <c r="B4" s="15">
        <f>INDEX(Supuestos!$B$19:$B$21,MATCH(A4,Supuestos!$C$19:$C$21,1))</f>
        <v/>
      </c>
      <c r="C4" s="16">
        <f>IF(Supuestos!$B$15&lt;=0,0,(A4+B4)/Supuestos!$B$15)</f>
        <v/>
      </c>
      <c r="D4" s="16">
        <f>C4/Supuestos!$B$9</f>
        <v/>
      </c>
      <c r="E4" s="16">
        <f>D4*Supuestos!$B$10</f>
        <v/>
      </c>
      <c r="F4" s="17">
        <f>D4/Supuestos!$B$11</f>
        <v/>
      </c>
      <c r="G4" s="15">
        <f>C4*Supuestos!$B$5</f>
        <v/>
      </c>
      <c r="H4" s="15">
        <f>C4*Supuestos!$B$4</f>
        <v/>
      </c>
      <c r="I4" s="15">
        <f>H4*Supuestos!$B$13</f>
        <v/>
      </c>
      <c r="J4" s="15">
        <f>A4*Supuestos!$B$12</f>
        <v/>
      </c>
    </row>
    <row r="5">
      <c r="A5" s="13" t="n">
        <v>200</v>
      </c>
      <c r="B5" s="15">
        <f>INDEX(Supuestos!$B$19:$B$21,MATCH(A5,Supuestos!$C$19:$C$21,1))</f>
        <v/>
      </c>
      <c r="C5" s="16">
        <f>IF(Supuestos!$B$15&lt;=0,0,(A5+B5)/Supuestos!$B$15)</f>
        <v/>
      </c>
      <c r="D5" s="16">
        <f>C5/Supuestos!$B$9</f>
        <v/>
      </c>
      <c r="E5" s="16">
        <f>D5*Supuestos!$B$10</f>
        <v/>
      </c>
      <c r="F5" s="17">
        <f>D5/Supuestos!$B$11</f>
        <v/>
      </c>
      <c r="G5" s="15">
        <f>C5*Supuestos!$B$5</f>
        <v/>
      </c>
      <c r="H5" s="15">
        <f>C5*Supuestos!$B$4</f>
        <v/>
      </c>
      <c r="I5" s="15">
        <f>H5*Supuestos!$B$13</f>
        <v/>
      </c>
      <c r="J5" s="15">
        <f>A5*Supuestos!$B$12</f>
        <v/>
      </c>
    </row>
    <row r="6">
      <c r="A6" s="13" t="n">
        <v>300</v>
      </c>
      <c r="B6" s="15">
        <f>INDEX(Supuestos!$B$19:$B$21,MATCH(A6,Supuestos!$C$19:$C$21,1))</f>
        <v/>
      </c>
      <c r="C6" s="16">
        <f>IF(Supuestos!$B$15&lt;=0,0,(A6+B6)/Supuestos!$B$15)</f>
        <v/>
      </c>
      <c r="D6" s="16">
        <f>C6/Supuestos!$B$9</f>
        <v/>
      </c>
      <c r="E6" s="16">
        <f>D6*Supuestos!$B$10</f>
        <v/>
      </c>
      <c r="F6" s="17">
        <f>D6/Supuestos!$B$11</f>
        <v/>
      </c>
      <c r="G6" s="15">
        <f>C6*Supuestos!$B$5</f>
        <v/>
      </c>
      <c r="H6" s="15">
        <f>C6*Supuestos!$B$4</f>
        <v/>
      </c>
      <c r="I6" s="15">
        <f>H6*Supuestos!$B$13</f>
        <v/>
      </c>
      <c r="J6" s="15">
        <f>A6*Supuestos!$B$12</f>
        <v/>
      </c>
    </row>
    <row r="7">
      <c r="A7" s="13" t="n">
        <v>400</v>
      </c>
      <c r="B7" s="15">
        <f>INDEX(Supuestos!$B$19:$B$21,MATCH(A7,Supuestos!$C$19:$C$21,1))</f>
        <v/>
      </c>
      <c r="C7" s="16">
        <f>IF(Supuestos!$B$15&lt;=0,0,(A7+B7)/Supuestos!$B$15)</f>
        <v/>
      </c>
      <c r="D7" s="16">
        <f>C7/Supuestos!$B$9</f>
        <v/>
      </c>
      <c r="E7" s="16">
        <f>D7*Supuestos!$B$10</f>
        <v/>
      </c>
      <c r="F7" s="17">
        <f>D7/Supuestos!$B$11</f>
        <v/>
      </c>
      <c r="G7" s="15">
        <f>C7*Supuestos!$B$5</f>
        <v/>
      </c>
      <c r="H7" s="15">
        <f>C7*Supuestos!$B$4</f>
        <v/>
      </c>
      <c r="I7" s="15">
        <f>H7*Supuestos!$B$13</f>
        <v/>
      </c>
      <c r="J7" s="15">
        <f>A7*Supuestos!$B$12</f>
        <v/>
      </c>
    </row>
    <row r="8">
      <c r="A8" s="13" t="n">
        <v>500</v>
      </c>
      <c r="B8" s="15">
        <f>INDEX(Supuestos!$B$19:$B$21,MATCH(A8,Supuestos!$C$19:$C$21,1))</f>
        <v/>
      </c>
      <c r="C8" s="16">
        <f>IF(Supuestos!$B$15&lt;=0,0,(A8+B8)/Supuestos!$B$15)</f>
        <v/>
      </c>
      <c r="D8" s="16">
        <f>C8/Supuestos!$B$9</f>
        <v/>
      </c>
      <c r="E8" s="16">
        <f>D8*Supuestos!$B$10</f>
        <v/>
      </c>
      <c r="F8" s="17">
        <f>D8/Supuestos!$B$11</f>
        <v/>
      </c>
      <c r="G8" s="15">
        <f>C8*Supuestos!$B$5</f>
        <v/>
      </c>
      <c r="H8" s="15">
        <f>C8*Supuestos!$B$4</f>
        <v/>
      </c>
      <c r="I8" s="15">
        <f>H8*Supuestos!$B$13</f>
        <v/>
      </c>
      <c r="J8" s="15">
        <f>A8*Supuestos!$B$12</f>
        <v/>
      </c>
    </row>
    <row r="9">
      <c r="A9" s="13" t="n">
        <v>600</v>
      </c>
      <c r="B9" s="15">
        <f>INDEX(Supuestos!$B$19:$B$21,MATCH(A9,Supuestos!$C$19:$C$21,1))</f>
        <v/>
      </c>
      <c r="C9" s="16">
        <f>IF(Supuestos!$B$15&lt;=0,0,(A9+B9)/Supuestos!$B$15)</f>
        <v/>
      </c>
      <c r="D9" s="16">
        <f>C9/Supuestos!$B$9</f>
        <v/>
      </c>
      <c r="E9" s="16">
        <f>D9*Supuestos!$B$10</f>
        <v/>
      </c>
      <c r="F9" s="17">
        <f>D9/Supuestos!$B$11</f>
        <v/>
      </c>
      <c r="G9" s="15">
        <f>C9*Supuestos!$B$5</f>
        <v/>
      </c>
      <c r="H9" s="15">
        <f>C9*Supuestos!$B$4</f>
        <v/>
      </c>
      <c r="I9" s="15">
        <f>H9*Supuestos!$B$13</f>
        <v/>
      </c>
      <c r="J9" s="15">
        <f>A9*Supuestos!$B$12</f>
        <v/>
      </c>
    </row>
    <row r="10">
      <c r="A10" s="13" t="n">
        <v>700</v>
      </c>
      <c r="B10" s="15">
        <f>INDEX(Supuestos!$B$19:$B$21,MATCH(A10,Supuestos!$C$19:$C$21,1))</f>
        <v/>
      </c>
      <c r="C10" s="16">
        <f>IF(Supuestos!$B$15&lt;=0,0,(A10+B10)/Supuestos!$B$15)</f>
        <v/>
      </c>
      <c r="D10" s="16">
        <f>C10/Supuestos!$B$9</f>
        <v/>
      </c>
      <c r="E10" s="16">
        <f>D10*Supuestos!$B$10</f>
        <v/>
      </c>
      <c r="F10" s="17">
        <f>D10/Supuestos!$B$11</f>
        <v/>
      </c>
      <c r="G10" s="15">
        <f>C10*Supuestos!$B$5</f>
        <v/>
      </c>
      <c r="H10" s="15">
        <f>C10*Supuestos!$B$4</f>
        <v/>
      </c>
      <c r="I10" s="15">
        <f>H10*Supuestos!$B$13</f>
        <v/>
      </c>
      <c r="J10" s="15">
        <f>A10*Supuestos!$B$12</f>
        <v/>
      </c>
    </row>
    <row r="11">
      <c r="A11" s="13" t="n">
        <v>800</v>
      </c>
      <c r="B11" s="15">
        <f>INDEX(Supuestos!$B$19:$B$21,MATCH(A11,Supuestos!$C$19:$C$21,1))</f>
        <v/>
      </c>
      <c r="C11" s="16">
        <f>IF(Supuestos!$B$15&lt;=0,0,(A11+B11)/Supuestos!$B$15)</f>
        <v/>
      </c>
      <c r="D11" s="16">
        <f>C11/Supuestos!$B$9</f>
        <v/>
      </c>
      <c r="E11" s="16">
        <f>D11*Supuestos!$B$10</f>
        <v/>
      </c>
      <c r="F11" s="17">
        <f>D11/Supuestos!$B$11</f>
        <v/>
      </c>
      <c r="G11" s="15">
        <f>C11*Supuestos!$B$5</f>
        <v/>
      </c>
      <c r="H11" s="15">
        <f>C11*Supuestos!$B$4</f>
        <v/>
      </c>
      <c r="I11" s="15">
        <f>H11*Supuestos!$B$13</f>
        <v/>
      </c>
      <c r="J11" s="15">
        <f>A11*Supuestos!$B$12</f>
        <v/>
      </c>
    </row>
    <row r="12">
      <c r="A12" s="13" t="n">
        <v>900</v>
      </c>
      <c r="B12" s="15">
        <f>INDEX(Supuestos!$B$19:$B$21,MATCH(A12,Supuestos!$C$19:$C$21,1))</f>
        <v/>
      </c>
      <c r="C12" s="16">
        <f>IF(Supuestos!$B$15&lt;=0,0,(A12+B12)/Supuestos!$B$15)</f>
        <v/>
      </c>
      <c r="D12" s="16">
        <f>C12/Supuestos!$B$9</f>
        <v/>
      </c>
      <c r="E12" s="16">
        <f>D12*Supuestos!$B$10</f>
        <v/>
      </c>
      <c r="F12" s="17">
        <f>D12/Supuestos!$B$11</f>
        <v/>
      </c>
      <c r="G12" s="15">
        <f>C12*Supuestos!$B$5</f>
        <v/>
      </c>
      <c r="H12" s="15">
        <f>C12*Supuestos!$B$4</f>
        <v/>
      </c>
      <c r="I12" s="15">
        <f>H12*Supuestos!$B$13</f>
        <v/>
      </c>
      <c r="J12" s="15">
        <f>A12*Supuestos!$B$12</f>
        <v/>
      </c>
    </row>
    <row r="13">
      <c r="A13" s="13" t="n">
        <v>1000</v>
      </c>
      <c r="B13" s="15">
        <f>INDEX(Supuestos!$B$19:$B$21,MATCH(A13,Supuestos!$C$19:$C$21,1))</f>
        <v/>
      </c>
      <c r="C13" s="16">
        <f>IF(Supuestos!$B$15&lt;=0,0,(A13+B13)/Supuestos!$B$15)</f>
        <v/>
      </c>
      <c r="D13" s="16">
        <f>C13/Supuestos!$B$9</f>
        <v/>
      </c>
      <c r="E13" s="16">
        <f>D13*Supuestos!$B$10</f>
        <v/>
      </c>
      <c r="F13" s="17">
        <f>D13/Supuestos!$B$11</f>
        <v/>
      </c>
      <c r="G13" s="15">
        <f>C13*Supuestos!$B$5</f>
        <v/>
      </c>
      <c r="H13" s="15">
        <f>C13*Supuestos!$B$4</f>
        <v/>
      </c>
      <c r="I13" s="15">
        <f>H13*Supuestos!$B$13</f>
        <v/>
      </c>
      <c r="J13" s="15">
        <f>A13*Supuestos!$B$12</f>
        <v/>
      </c>
    </row>
    <row r="15">
      <c r="A15" s="14" t="inlineStr">
        <is>
          <t>Cálculo: kg al día = (ganancia que quieres + gasto fijo) ÷ ganancia limpia por kg. El gasto fijo depende del nivel del negocio (hoja Supuestos).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</cols>
  <sheetData>
    <row r="1">
      <c r="A1" s="1" t="inlineStr">
        <is>
          <t>Bandejas al día según a quién le vendes</t>
        </is>
      </c>
    </row>
    <row r="2">
      <c r="A2" s="2" t="inlineStr">
        <is>
          <t>Cambia los precios de venta de cada canal (amarillos). Los costos se toman de la hoja Supuestos.</t>
        </is>
      </c>
    </row>
    <row r="4" ht="32" customHeight="1">
      <c r="A4" s="3" t="inlineStr">
        <is>
          <t>Concepto</t>
        </is>
      </c>
      <c r="B4" s="3" t="inlineStr">
        <is>
          <t>Solo bodegas</t>
        </is>
      </c>
      <c r="C4" s="3" t="inlineStr">
        <is>
          <t>Mixto</t>
        </is>
      </c>
      <c r="D4" s="3" t="inlineStr">
        <is>
          <t>Solo hogares con delivery</t>
        </is>
      </c>
    </row>
    <row r="5">
      <c r="A5" s="18" t="inlineStr">
        <is>
          <t>Precio de venta por kg</t>
        </is>
      </c>
      <c r="B5" s="5" t="n">
        <v>6.7</v>
      </c>
      <c r="C5" s="19">
        <f>Supuestos!B5</f>
        <v/>
      </c>
      <c r="D5" s="5" t="n">
        <v>7.8</v>
      </c>
    </row>
    <row r="6">
      <c r="A6" s="18" t="inlineStr">
        <is>
          <t>Ganancia limpia por kg</t>
        </is>
      </c>
      <c r="B6" s="11">
        <f>B5-Supuestos!$B$4-Supuestos!$B$4*Supuestos!$B$6-Supuestos!$B$7-Supuestos!$B$8</f>
        <v/>
      </c>
      <c r="C6" s="11">
        <f>C5-Supuestos!$B$4-Supuestos!$B$4*Supuestos!$B$6-Supuestos!$B$7-Supuestos!$B$8</f>
        <v/>
      </c>
      <c r="D6" s="11">
        <f>D5-Supuestos!$B$4-Supuestos!$B$4*Supuestos!$B$6-Supuestos!$B$7-Supuestos!$B$8</f>
        <v/>
      </c>
    </row>
    <row r="8" ht="32" customHeight="1">
      <c r="A8" s="3" t="inlineStr">
        <is>
          <t>Ganancia que quieres al día</t>
        </is>
      </c>
      <c r="B8" s="3" t="inlineStr">
        <is>
          <t>Bandejas al día: solo bodegas</t>
        </is>
      </c>
      <c r="C8" s="3" t="inlineStr">
        <is>
          <t>Bandejas al día: mixto</t>
        </is>
      </c>
      <c r="D8" s="3" t="inlineStr">
        <is>
          <t>Bandejas al día: solo hogares</t>
        </is>
      </c>
    </row>
    <row r="9">
      <c r="A9" s="20">
        <f>'Metas diarias'!A4</f>
        <v/>
      </c>
      <c r="B9" s="16">
        <f>IF(B$6&lt;=0,"Pierdes dinero",('Metas diarias'!$A4+'Metas diarias'!$B4)/B$6/Supuestos!$B$9)</f>
        <v/>
      </c>
      <c r="C9" s="16">
        <f>IF(C$6&lt;=0,"Pierdes dinero",('Metas diarias'!$A4+'Metas diarias'!$B4)/C$6/Supuestos!$B$9)</f>
        <v/>
      </c>
      <c r="D9" s="16">
        <f>IF(D$6&lt;=0,"Pierdes dinero",('Metas diarias'!$A4+'Metas diarias'!$B4)/D$6/Supuestos!$B$9)</f>
        <v/>
      </c>
    </row>
    <row r="10">
      <c r="A10" s="20">
        <f>'Metas diarias'!A5</f>
        <v/>
      </c>
      <c r="B10" s="16">
        <f>IF(B$6&lt;=0,"Pierdes dinero",('Metas diarias'!$A5+'Metas diarias'!$B5)/B$6/Supuestos!$B$9)</f>
        <v/>
      </c>
      <c r="C10" s="16">
        <f>IF(C$6&lt;=0,"Pierdes dinero",('Metas diarias'!$A5+'Metas diarias'!$B5)/C$6/Supuestos!$B$9)</f>
        <v/>
      </c>
      <c r="D10" s="16">
        <f>IF(D$6&lt;=0,"Pierdes dinero",('Metas diarias'!$A5+'Metas diarias'!$B5)/D$6/Supuestos!$B$9)</f>
        <v/>
      </c>
    </row>
    <row r="11">
      <c r="A11" s="20">
        <f>'Metas diarias'!A6</f>
        <v/>
      </c>
      <c r="B11" s="16">
        <f>IF(B$6&lt;=0,"Pierdes dinero",('Metas diarias'!$A6+'Metas diarias'!$B6)/B$6/Supuestos!$B$9)</f>
        <v/>
      </c>
      <c r="C11" s="16">
        <f>IF(C$6&lt;=0,"Pierdes dinero",('Metas diarias'!$A6+'Metas diarias'!$B6)/C$6/Supuestos!$B$9)</f>
        <v/>
      </c>
      <c r="D11" s="16">
        <f>IF(D$6&lt;=0,"Pierdes dinero",('Metas diarias'!$A6+'Metas diarias'!$B6)/D$6/Supuestos!$B$9)</f>
        <v/>
      </c>
    </row>
    <row r="12">
      <c r="A12" s="20">
        <f>'Metas diarias'!A7</f>
        <v/>
      </c>
      <c r="B12" s="16">
        <f>IF(B$6&lt;=0,"Pierdes dinero",('Metas diarias'!$A7+'Metas diarias'!$B7)/B$6/Supuestos!$B$9)</f>
        <v/>
      </c>
      <c r="C12" s="16">
        <f>IF(C$6&lt;=0,"Pierdes dinero",('Metas diarias'!$A7+'Metas diarias'!$B7)/C$6/Supuestos!$B$9)</f>
        <v/>
      </c>
      <c r="D12" s="16">
        <f>IF(D$6&lt;=0,"Pierdes dinero",('Metas diarias'!$A7+'Metas diarias'!$B7)/D$6/Supuestos!$B$9)</f>
        <v/>
      </c>
    </row>
    <row r="13">
      <c r="A13" s="20">
        <f>'Metas diarias'!A8</f>
        <v/>
      </c>
      <c r="B13" s="16">
        <f>IF(B$6&lt;=0,"Pierdes dinero",('Metas diarias'!$A8+'Metas diarias'!$B8)/B$6/Supuestos!$B$9)</f>
        <v/>
      </c>
      <c r="C13" s="16">
        <f>IF(C$6&lt;=0,"Pierdes dinero",('Metas diarias'!$A8+'Metas diarias'!$B8)/C$6/Supuestos!$B$9)</f>
        <v/>
      </c>
      <c r="D13" s="16">
        <f>IF(D$6&lt;=0,"Pierdes dinero",('Metas diarias'!$A8+'Metas diarias'!$B8)/D$6/Supuestos!$B$9)</f>
        <v/>
      </c>
    </row>
    <row r="14">
      <c r="A14" s="20">
        <f>'Metas diarias'!A9</f>
        <v/>
      </c>
      <c r="B14" s="16">
        <f>IF(B$6&lt;=0,"Pierdes dinero",('Metas diarias'!$A9+'Metas diarias'!$B9)/B$6/Supuestos!$B$9)</f>
        <v/>
      </c>
      <c r="C14" s="16">
        <f>IF(C$6&lt;=0,"Pierdes dinero",('Metas diarias'!$A9+'Metas diarias'!$B9)/C$6/Supuestos!$B$9)</f>
        <v/>
      </c>
      <c r="D14" s="16">
        <f>IF(D$6&lt;=0,"Pierdes dinero",('Metas diarias'!$A9+'Metas diarias'!$B9)/D$6/Supuestos!$B$9)</f>
        <v/>
      </c>
    </row>
    <row r="15">
      <c r="A15" s="20">
        <f>'Metas diarias'!A10</f>
        <v/>
      </c>
      <c r="B15" s="16">
        <f>IF(B$6&lt;=0,"Pierdes dinero",('Metas diarias'!$A10+'Metas diarias'!$B10)/B$6/Supuestos!$B$9)</f>
        <v/>
      </c>
      <c r="C15" s="16">
        <f>IF(C$6&lt;=0,"Pierdes dinero",('Metas diarias'!$A10+'Metas diarias'!$B10)/C$6/Supuestos!$B$9)</f>
        <v/>
      </c>
      <c r="D15" s="16">
        <f>IF(D$6&lt;=0,"Pierdes dinero",('Metas diarias'!$A10+'Metas diarias'!$B10)/D$6/Supuestos!$B$9)</f>
        <v/>
      </c>
    </row>
    <row r="16">
      <c r="A16" s="20">
        <f>'Metas diarias'!A11</f>
        <v/>
      </c>
      <c r="B16" s="16">
        <f>IF(B$6&lt;=0,"Pierdes dinero",('Metas diarias'!$A11+'Metas diarias'!$B11)/B$6/Supuestos!$B$9)</f>
        <v/>
      </c>
      <c r="C16" s="16">
        <f>IF(C$6&lt;=0,"Pierdes dinero",('Metas diarias'!$A11+'Metas diarias'!$B11)/C$6/Supuestos!$B$9)</f>
        <v/>
      </c>
      <c r="D16" s="16">
        <f>IF(D$6&lt;=0,"Pierdes dinero",('Metas diarias'!$A11+'Metas diarias'!$B11)/D$6/Supuestos!$B$9)</f>
        <v/>
      </c>
    </row>
    <row r="17">
      <c r="A17" s="20">
        <f>'Metas diarias'!A12</f>
        <v/>
      </c>
      <c r="B17" s="16">
        <f>IF(B$6&lt;=0,"Pierdes dinero",('Metas diarias'!$A12+'Metas diarias'!$B12)/B$6/Supuestos!$B$9)</f>
        <v/>
      </c>
      <c r="C17" s="16">
        <f>IF(C$6&lt;=0,"Pierdes dinero",('Metas diarias'!$A12+'Metas diarias'!$B12)/C$6/Supuestos!$B$9)</f>
        <v/>
      </c>
      <c r="D17" s="16">
        <f>IF(D$6&lt;=0,"Pierdes dinero",('Metas diarias'!$A12+'Metas diarias'!$B12)/D$6/Supuestos!$B$9)</f>
        <v/>
      </c>
    </row>
    <row r="18">
      <c r="A18" s="20">
        <f>'Metas diarias'!A13</f>
        <v/>
      </c>
      <c r="B18" s="16">
        <f>IF(B$6&lt;=0,"Pierdes dinero",('Metas diarias'!$A13+'Metas diarias'!$B13)/B$6/Supuestos!$B$9)</f>
        <v/>
      </c>
      <c r="C18" s="16">
        <f>IF(C$6&lt;=0,"Pierdes dinero",('Metas diarias'!$A13+'Metas diarias'!$B13)/C$6/Supuestos!$B$9)</f>
        <v/>
      </c>
      <c r="D18" s="16">
        <f>IF(D$6&lt;=0,"Pierdes dinero",('Metas diarias'!$A13+'Metas diarias'!$B13)/D$6/Supuestos!$B$9)</f>
        <v/>
      </c>
    </row>
    <row r="20">
      <c r="A20" s="14" t="inlineStr">
        <is>
          <t>Incluye el gasto fijo de cada nivel. Vender a hogares deja más ganancia por bandeja, pero cada entrega es pequeña y toma más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2026-10-03T20:50:55Z</dcterms:created>
  <dcterms:modified xsi:type="dcterms:W3CDTF">2026-10-03T20:50:55Z</dcterms:modified>
</cp:coreProperties>
</file>